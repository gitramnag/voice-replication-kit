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firstSheet="0"/>
  </bookViews>
  <sheets>
    <sheet name="Instructions" sheetId="1" r:id="rId3"/>
    <sheet name="Ratings" sheetId="2" r:id="rId4"/>
    <sheet name="Decisions" sheetId="3" r:id="rId5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0"/>
      <color rgb="FF24313A"/>
      <name val="Segoe UI"/>
      <family val="2"/>
    </font>
    <font>
      <b/>
      <sz val="10"/>
      <color rgb="FFFFFFFF"/>
      <name val="Segoe UI"/>
      <family val="2"/>
    </font>
    <font>
      <b/>
      <sz val="15"/>
      <color rgb="FF24313A"/>
      <name val="Segoe UI"/>
      <family val="2"/>
    </font>
    <font>
      <b/>
      <sz val="10"/>
      <color rgb="FF1F6F78"/>
      <name val="Segoe UI"/>
      <family val="2"/>
    </font>
    <font>
      <i/>
      <sz val="9"/>
      <color rgb="FF6E7B83"/>
      <name val="Segoe UI"/>
      <family val="2"/>
    </font>
    <font>
      <b/>
      <sz val="10"/>
      <color rgb="FF24313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4F1EA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F5E8CF"/>
        <bgColor indexed="64"/>
      </patternFill>
    </fill>
    <fill>
      <patternFill patternType="solid">
        <fgColor rgb="FFE9EDEE"/>
        <bgColor indexed="64"/>
      </patternFill>
    </fill>
    <fill>
      <patternFill patternType="solid">
        <fgColor rgb="FFF3DF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6E7B83"/>
      </bottom>
      <diagonal/>
    </border>
    <border>
      <left/>
      <right style="thin">
        <color rgb="FFFFFFFF"/>
      </right>
      <top/>
      <bottom style="thin">
        <color rgb="FF1F6F78"/>
      </bottom>
      <diagonal/>
    </border>
    <border>
      <left/>
      <right/>
      <top/>
      <bottom style="thin">
        <color rgb="FFC78C34"/>
      </bottom>
      <diagonal/>
    </border>
  </borders>
  <cellStyleXfs count="4">
    <xf numFmtId="0" fontId="0" fillId="0" borderId="0"/>
    <xf numFmtId="0" fontId="0" fillId="4" borderId="3" applyFill="1" applyBorder="1"/>
    <xf numFmtId="0" fontId="0" fillId="5" borderId="0" applyFill="1"/>
    <xf numFmtId="0" fontId="5" fillId="6" borderId="0" applyFont="1" applyFill="1"/>
  </cellStyleXfs>
  <cellXfs count="13"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4" borderId="3" xfId="1" applyFill="1" applyBorder="1" applyAlignment="1">
      <alignment vertical="center"/>
    </xf>
    <xf numFmtId="1" fontId="0" fillId="4" borderId="3" xfId="1" applyNumberFormat="1" applyFill="1" applyBorder="1" applyAlignment="1">
      <alignment horizontal="right" vertical="center"/>
    </xf>
    <xf numFmtId="0" fontId="0" fillId="5" borderId="0" xfId="2" applyFill="1" applyAlignment="1">
      <alignment vertical="center"/>
    </xf>
    <xf numFmtId="1" fontId="0" fillId="5" borderId="0" xfId="2" applyNumberFormat="1" applyFill="1" applyAlignment="1">
      <alignment horizontal="right" vertical="center"/>
    </xf>
    <xf numFmtId="164" fontId="0" fillId="5" borderId="0" xfId="2" applyNumberFormat="1" applyFill="1" applyAlignment="1">
      <alignment horizontal="right" vertical="center"/>
    </xf>
    <xf numFmtId="0" fontId="0" fillId="4" borderId="3" xfId="1" applyFill="1" applyBorder="1" applyAlignment="1">
      <alignment vertical="top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vertical="top" wrapText="1"/>
    </xf>
  </cellXfs>
  <cellStyles count="4">
    <cellStyle name="Normal" xfId="0" builtinId="0"/>
    <cellStyle name="Input" xfId="1"/>
    <cellStyle name="Calculated" xfId="2"/>
    <cellStyle name="Warning" xfId="3"/>
  </cellStyles>
  <dxfs count="3">
    <dxf>
      <font>
        <b/>
        <color rgb="FF24313A"/>
      </font>
      <fill>
        <patternFill patternType="solid">
          <fgColor rgb="FFF3DFC0"/>
          <bgColor indexed="64"/>
        </patternFill>
      </fill>
    </dxf>
    <dxf>
      <font>
        <b/>
        <color rgb="FFFFFFFF"/>
      </font>
      <fill>
        <patternFill patternType="solid">
          <fgColor rgb="FF1F6F78"/>
          <bgColor indexed="64"/>
        </patternFill>
      </fill>
    </dxf>
    <dxf>
      <fill>
        <patternFill patternType="solid">
          <fgColor rgb="FFF4F1EA"/>
          <bgColor indexed="64"/>
        </patternFill>
      </fill>
    </dxf>
  </dxfs>
  <tableStyles count="1" defaultTableStyle="VoiceScorecard" defaultPivotStyle="PivotStyleLight16">
    <tableStyle name="VoiceScorecard" pivot="0" table="1" count="2">
      <tableStyleElement type="headerRow" dxfId="1"/>
      <tableStyleElement type="firstRowStripe" dxfId="2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/xl/styles.xml"/><Relationship Id="rId3" Type="http://schemas.openxmlformats.org/officeDocument/2006/relationships/worksheet" Target="/xl/worksheets/sheet1.xml"/><Relationship Id="rId4" Type="http://schemas.openxmlformats.org/officeDocument/2006/relationships/worksheet" Target="/xl/worksheets/sheet2.xml"/><Relationship Id="rId5" Type="http://schemas.openxmlformats.org/officeDocument/2006/relationships/worksheet" Target="/xl/worksheets/sheet3.xml"/></Relationships>
</file>

<file path=xl/tables/table1.xml><?xml version="1.0" encoding="utf-8"?>
<table xmlns="http://schemas.openxmlformats.org/spreadsheetml/2006/main" id="1" name="RatingsTable" displayName="RatingsTable" ref="A1:N101" headerRowCount="1" totalsRowCount="0" totalsRowShown="0">
  <autoFilter ref="A1:N101"/>
  <tableColumns count="14">
    <tableColumn id="1" name="Blind label"/>
    <tableColumn id="2" name="Prompt ID"/>
    <tableColumn id="3" name="Prompt text"/>
    <tableColumn id="4" name="Style"/>
    <tableColumn id="5" name="Candidate file"/>
    <tableColumn id="6" name="Identity"/>
    <tableColumn id="7" name="Naturalness"/>
    <tableColumn id="8" name="Pacing"/>
    <tableColumn id="9" name="Pronunciation"/>
    <tableColumn id="10" name="Artifact-free"/>
    <tableColumn id="11" name="Emotion fit"/>
    <tableColumn id="12" name="Ratings complete"/>
    <tableColumn id="13" name="Mean score"/>
    <tableColumn id="14" name="Notes"/>
  </tableColumns>
  <tableStyleInfo name="VoiceScorecard" showFirstColumn="0" showLastColumn="0" showRowStripes="1" showColumnStripes="0"/>
</table>
</file>

<file path=xl/tables/table2.xml><?xml version="1.0" encoding="utf-8"?>
<table xmlns="http://schemas.openxmlformats.org/spreadsheetml/2006/main" id="2" name="DecisionsTable" displayName="DecisionsTable" ref="A1:H15" headerRowCount="1" totalsRowCount="0" totalsRowShown="0">
  <autoFilter ref="A1:H15"/>
  <tableColumns count="8">
    <tableColumn id="1" name="Style"/>
    <tableColumn id="2" name="Candidates started"/>
    <tableColumn id="3" name="Complete candidates"/>
    <tableColumn id="4" name="Best mean"/>
    <tableColumn id="5" name="Tied at best"/>
    <tableColumn id="6" name="Status"/>
    <tableColumn id="7" name="Selected blind label"/>
    <tableColumn id="8" name="Decision note"/>
  </tableColumns>
  <tableStyleInfo name="VoiceScorecard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/xl/tables/table2.xml"/></Relationships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>
  <sheetPr>
    <tabColor rgb="FF6E7B83"/>
  </sheetPr>
  <dimension ref="A1:F27"/>
  <sheetViews>
    <sheetView showGridLines="0" workbookViewId="0"/>
  </sheetViews>
  <sheetFormatPr defaultRowHeight="18"/>
  <cols>
    <col min="1" max="1" width="11" customWidth="1"/>
    <col min="2" max="2" width="42" customWidth="1"/>
    <col min="3" max="3" width="58" customWidth="1"/>
    <col min="4" max="4" width="3" customWidth="1"/>
    <col min="5" max="5" width="28" customWidth="1"/>
    <col min="6" max="6" width="30" customWidth="1"/>
  </cols>
  <x:sheetData>
    <row r="1" ht="28" customHeight="1">
      <c r="A1" s="1" t="inlineStr">
        <is>
          <t>Voice evaluation scorecard</t>
        </is>
      </c>
    </row>
    <row r="2" ht="22" customHeight="1">
      <c r="A2" s="3" t="inlineStr">
        <is>
          <t>Use this blank workbook for blind listening. Keep completed copies and private mappings outside Git.</t>
        </is>
      </c>
    </row>
    <row r="4" ht="24" customHeight="1">
      <c r="A4" s="2" t="inlineStr">
        <is>
          <t>Step</t>
        </is>
      </c>
      <c r="B4" s="2" t="inlineStr">
        <is>
          <t>Action</t>
        </is>
      </c>
      <c r="C4" s="2" t="inlineStr">
        <is>
          <t>Complete when</t>
        </is>
      </c>
      <c r="E4" s="2" t="inlineStr">
        <is>
          <t>No.</t>
        </is>
      </c>
      <c r="F4" s="2" t="inlineStr">
        <is>
          <t>Supported style</t>
        </is>
      </c>
    </row>
    <row r="5" ht="34" customHeight="1">
      <c r="A5" s="11">
        <v>1</v>
      </c>
      <c r="B5" s="12" t="inlineStr">
        <is>
          <t>Prepare blind labels and the playback order outside this workbook.</t>
        </is>
      </c>
      <c r="C5" s="12" t="inlineStr">
        <is>
          <t>The private label map is stored separately.</t>
        </is>
      </c>
      <c r="E5" s="11">
        <v>1</v>
      </c>
      <c r="F5" s="0" t="inlineStr">
        <is>
          <t>narration_neutral</t>
        </is>
      </c>
    </row>
    <row r="6" ht="34" customHeight="1">
      <c r="A6" s="11">
        <v>2</v>
      </c>
      <c r="B6" s="12" t="inlineStr">
        <is>
          <t>Enter one candidate per row on Ratings.</t>
        </is>
      </c>
      <c r="C6" s="12" t="inlineStr">
        <is>
          <t>Blind label, prompt context, style and candidate file are present.</t>
        </is>
      </c>
      <c r="E6" s="11">
        <v>2</v>
      </c>
      <c r="F6" s="0" t="inlineStr">
        <is>
          <t>warm_friendly</t>
        </is>
      </c>
    </row>
    <row r="7" ht="34" customHeight="1">
      <c r="A7" s="11">
        <v>3</v>
      </c>
      <c r="B7" s="12" t="inlineStr">
        <is>
          <t>Rate all six measures from 1 to 5.</t>
        </is>
      </c>
      <c r="C7" s="12" t="inlineStr">
        <is>
          <t>Ratings complete shows Complete.</t>
        </is>
      </c>
      <c r="E7" s="11">
        <v>3</v>
      </c>
      <c r="F7" s="0" t="inlineStr">
        <is>
          <t>excited_energetic</t>
        </is>
      </c>
    </row>
    <row r="8" ht="34" customHeight="1">
      <c r="A8" s="11">
        <v>4</v>
      </c>
      <c r="B8" s="12" t="inlineStr">
        <is>
          <t>Compare candidates by style on Decisions.</t>
        </is>
      </c>
      <c r="C8" s="12" t="inlineStr">
        <is>
          <t>The Status column shows the next action.</t>
        </is>
      </c>
      <c r="E8" s="11">
        <v>4</v>
      </c>
      <c r="F8" s="0" t="inlineStr">
        <is>
          <t>serious_authoritative</t>
        </is>
      </c>
    </row>
    <row r="9" ht="34" customHeight="1">
      <c r="A9" s="11">
        <v>5</v>
      </c>
      <c r="B9" s="12" t="inlineStr">
        <is>
          <t>Record the selected blind label and a short decision note.</t>
        </is>
      </c>
      <c r="C9" s="12" t="inlineStr">
        <is>
          <t>One decision is recorded for each evaluated style.</t>
        </is>
      </c>
      <c r="E9" s="11">
        <v>5</v>
      </c>
      <c r="F9" s="0" t="inlineStr">
        <is>
          <t>curious_questioning</t>
        </is>
      </c>
    </row>
    <row r="10" ht="34" customHeight="1">
      <c r="A10" s="11">
        <v>6</v>
      </c>
      <c r="B10" s="12" t="inlineStr">
        <is>
          <t>Unblind only after decisions are recorded.</t>
        </is>
      </c>
      <c r="C10" s="12" t="inlineStr">
        <is>
          <t>The private label map remains outside this workbook.</t>
        </is>
      </c>
      <c r="E10" s="11">
        <v>6</v>
      </c>
      <c r="F10" s="0" t="inlineStr">
        <is>
          <t>empathetic_calm</t>
        </is>
      </c>
    </row>
    <row r="11" ht="22" customHeight="1">
      <c r="E11" s="11">
        <v>7</v>
      </c>
      <c r="F11" s="0" t="inlineStr">
        <is>
          <t>emphatic_punchy</t>
        </is>
      </c>
    </row>
    <row r="12" ht="22" customHeight="1">
      <c r="E12" s="11">
        <v>8</v>
      </c>
      <c r="F12" s="0" t="inlineStr">
        <is>
          <t>awe_wonder</t>
        </is>
      </c>
    </row>
    <row r="13" ht="24" customHeight="1">
      <c r="A13" s="2" t="inlineStr">
        <is>
          <t>Score</t>
        </is>
      </c>
      <c r="B13" s="2" t="inlineStr">
        <is>
          <t>Meaning</t>
        </is>
      </c>
      <c r="C13" s="2" t="inlineStr">
        <is>
          <t>Use this score when</t>
        </is>
      </c>
      <c r="E13" s="11">
        <v>9</v>
      </c>
      <c r="F13" s="0" t="inlineStr">
        <is>
          <t>sorrow_grief</t>
        </is>
      </c>
    </row>
    <row r="14" ht="30" customHeight="1">
      <c r="A14" s="11">
        <v>1</v>
      </c>
      <c r="B14" s="0" t="inlineStr">
        <is>
          <t>Unusable</t>
        </is>
      </c>
      <c r="C14" s="12" t="inlineStr">
        <is>
          <t>The problem is clear enough to reject the candidate.</t>
        </is>
      </c>
      <c r="E14" s="11">
        <v>10</v>
      </c>
      <c r="F14" s="0" t="inlineStr">
        <is>
          <t>anger_fierce</t>
        </is>
      </c>
    </row>
    <row r="15" ht="30" customHeight="1">
      <c r="A15" s="11">
        <v>2</v>
      </c>
      <c r="B15" s="0" t="inlineStr">
        <is>
          <t>Weak</t>
        </is>
      </c>
      <c r="C15" s="12" t="inlineStr">
        <is>
          <t>Several problems distract from the intended voice or delivery.</t>
        </is>
      </c>
      <c r="E15" s="11">
        <v>11</v>
      </c>
      <c r="F15" s="0" t="inlineStr">
        <is>
          <t>tender_intimate</t>
        </is>
      </c>
    </row>
    <row r="16" ht="30" customHeight="1">
      <c r="A16" s="11">
        <v>3</v>
      </c>
      <c r="B16" s="0" t="inlineStr">
        <is>
          <t>Acceptable</t>
        </is>
      </c>
      <c r="C16" s="12" t="inlineStr">
        <is>
          <t>The candidate is usable with limitations that remain easy to hear.</t>
        </is>
      </c>
      <c r="E16" s="11">
        <v>12</v>
      </c>
      <c r="F16" s="0" t="inlineStr">
        <is>
          <t>suspense_hushed</t>
        </is>
      </c>
    </row>
    <row r="17" ht="30" customHeight="1">
      <c r="A17" s="11">
        <v>4</v>
      </c>
      <c r="B17" s="0" t="inlineStr">
        <is>
          <t>Strong</t>
        </is>
      </c>
      <c r="C17" s="12" t="inlineStr">
        <is>
          <t>The candidate is convincing with only minor limitations.</t>
        </is>
      </c>
      <c r="E17" s="11">
        <v>13</v>
      </c>
      <c r="F17" s="0" t="inlineStr">
        <is>
          <t>playful_wry</t>
        </is>
      </c>
    </row>
    <row r="18" ht="30" customHeight="1">
      <c r="A18" s="11">
        <v>5</v>
      </c>
      <c r="B18" s="0" t="inlineStr">
        <is>
          <t>Excellent</t>
        </is>
      </c>
      <c r="C18" s="12" t="inlineStr">
        <is>
          <t>No meaningful issue is apparent in this listening pass.</t>
        </is>
      </c>
      <c r="E18" s="11">
        <v>14</v>
      </c>
      <c r="F18" s="0" t="inlineStr">
        <is>
          <t>triumphant_declaratory</t>
        </is>
      </c>
    </row>
    <row r="21" ht="24" customHeight="1">
      <c r="A21" s="2" t="inlineStr">
        <is>
          <t>Measure</t>
        </is>
      </c>
      <c r="B21" s="2" t="inlineStr">
        <is>
          <t>Listening question</t>
        </is>
      </c>
      <c r="C21" s="2" t="inlineStr">
        <is>
          <t>Direction</t>
        </is>
      </c>
      <c r="E21" s="2" t="inlineStr">
        <is>
          <t>Keep private</t>
        </is>
      </c>
      <c r="F21" s="2" t="inlineStr">
        <is>
          <t>Public workbook</t>
        </is>
      </c>
    </row>
    <row r="22" ht="32" customHeight="1">
      <c r="A22" s="0" t="inlineStr">
        <is>
          <t>Identity</t>
        </is>
      </c>
      <c r="B22" s="12" t="inlineStr">
        <is>
          <t>Does the candidate resemble the intended speaker?</t>
        </is>
      </c>
      <c r="C22" s="12" t="inlineStr">
        <is>
          <t>Higher is closer.</t>
        </is>
      </c>
      <c r="E22" s="12" t="inlineStr">
        <is>
          <t>Reference and candidate audio</t>
        </is>
      </c>
      <c r="F22" s="12" t="inlineStr">
        <is>
          <t>No audio files</t>
        </is>
      </c>
    </row>
    <row r="23" ht="32" customHeight="1">
      <c r="A23" s="0" t="inlineStr">
        <is>
          <t>Naturalness</t>
        </is>
      </c>
      <c r="B23" s="12" t="inlineStr">
        <is>
          <t>Does the delivery sound like ordinary human speech?</t>
        </is>
      </c>
      <c r="C23" s="12" t="inlineStr">
        <is>
          <t>Higher is more natural.</t>
        </is>
      </c>
      <c r="E23" s="12" t="inlineStr">
        <is>
          <t>Blind-label and speaker mappings</t>
        </is>
      </c>
      <c r="F23" s="12" t="inlineStr">
        <is>
          <t>Blank table structure</t>
        </is>
      </c>
    </row>
    <row r="24" ht="32" customHeight="1">
      <c r="A24" s="0" t="inlineStr">
        <is>
          <t>Pacing</t>
        </is>
      </c>
      <c r="B24" s="12" t="inlineStr">
        <is>
          <t>Is the speed and pause pattern appropriate for the text?</t>
        </is>
      </c>
      <c r="C24" s="12" t="inlineStr">
        <is>
          <t>Higher is better paced.</t>
        </is>
      </c>
      <c r="E24" s="12" t="inlineStr">
        <is>
          <t>Completed ratings and decisions</t>
        </is>
      </c>
      <c r="F24" s="12" t="inlineStr">
        <is>
          <t>Formulas and instructions</t>
        </is>
      </c>
    </row>
    <row r="25" ht="32" customHeight="1">
      <c r="A25" s="0" t="inlineStr">
        <is>
          <t>Pronunciation</t>
        </is>
      </c>
      <c r="B25" s="12" t="inlineStr">
        <is>
          <t>Are words and names spoken as intended?</t>
        </is>
      </c>
      <c r="C25" s="12" t="inlineStr">
        <is>
          <t>Higher is more accurate.</t>
        </is>
      </c>
      <c r="E25" s="12" t="inlineStr">
        <is>
          <t>Listener and speaker identities</t>
        </is>
      </c>
      <c r="F25" s="12" t="inlineStr">
        <is>
          <t>No identity fields</t>
        </is>
      </c>
    </row>
    <row r="26" ht="32" customHeight="1">
      <c r="A26" s="0" t="inlineStr">
        <is>
          <t>Artifact-free</t>
        </is>
      </c>
      <c r="B26" s="12" t="inlineStr">
        <is>
          <t>Is the audio free of glitches, repetitions and cut words?</t>
        </is>
      </c>
      <c r="C26" s="12" t="inlineStr">
        <is>
          <t>Higher is cleaner.</t>
        </is>
      </c>
    </row>
    <row r="27" ht="32" customHeight="1">
      <c r="A27" s="0" t="inlineStr">
        <is>
          <t>Emotion fit</t>
        </is>
      </c>
      <c r="B27" s="12" t="inlineStr">
        <is>
          <t>Does the delivery match the requested style?</t>
        </is>
      </c>
      <c r="C27" s="12" t="inlineStr">
        <is>
          <t>Higher is a better fit.</t>
        </is>
      </c>
    </row>
  </x: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x="http://schemas.openxmlformats.org/spreadsheetml/2006/main" xmlns:r="http://schemas.openxmlformats.org/officeDocument/2006/relationships">
  <sheetPr>
    <tabColor rgb="FF1F6F78"/>
  </sheetPr>
  <dimension ref="A1:N101"/>
  <sheetViews>
    <sheetView showGridLines="0" workbookViewId="0">
      <pane ySplit="1" topLeftCell="A2" activePane="bottomLeft" state="frozen"/>
    </sheetView>
  </sheetViews>
  <sheetFormatPr defaultRowHeight="18"/>
  <cols>
    <col min="1" max="1" width="15" customWidth="1"/>
    <col min="2" max="2" width="18" customWidth="1"/>
    <col min="3" max="3" width="48" customWidth="1"/>
    <col min="4" max="4" width="25" customWidth="1"/>
    <col min="5" max="5" width="26" customWidth="1"/>
    <col min="6" max="11" width="14" customWidth="1"/>
    <col min="12" max="12" width="18" customWidth="1"/>
    <col min="13" max="13" width="13" customWidth="1"/>
    <col min="14" max="14" width="36" customWidth="1"/>
  </cols>
  <x:sheetData>
    <row r="1" ht="36" customHeight="1">
      <c r="A1" s="4" t="inlineStr">
        <is>
          <t>Blind label</t>
        </is>
      </c>
      <c r="B1" s="4" t="inlineStr">
        <is>
          <t>Prompt ID</t>
        </is>
      </c>
      <c r="C1" s="4" t="inlineStr">
        <is>
          <t>Prompt text</t>
        </is>
      </c>
      <c r="D1" s="4" t="inlineStr">
        <is>
          <t>Style</t>
        </is>
      </c>
      <c r="E1" s="4" t="inlineStr">
        <is>
          <t>Candidate file</t>
        </is>
      </c>
      <c r="F1" s="4" t="inlineStr">
        <is>
          <t>Identity</t>
        </is>
      </c>
      <c r="G1" s="4" t="inlineStr">
        <is>
          <t>Naturalness</t>
        </is>
      </c>
      <c r="H1" s="4" t="inlineStr">
        <is>
          <t>Pacing</t>
        </is>
      </c>
      <c r="I1" s="4" t="inlineStr">
        <is>
          <t>Pronunciation</t>
        </is>
      </c>
      <c r="J1" s="4" t="inlineStr">
        <is>
          <t>Artifact-free</t>
        </is>
      </c>
      <c r="K1" s="4" t="inlineStr">
        <is>
          <t>Emotion fit</t>
        </is>
      </c>
      <c r="L1" s="4" t="inlineStr">
        <is>
          <t>Ratings complete</t>
        </is>
      </c>
      <c r="M1" s="4" t="inlineStr">
        <is>
          <t>Mean score</t>
        </is>
      </c>
      <c r="N1" s="4" t="inlineStr">
        <is>
          <t>Notes</t>
        </is>
      </c>
    </row>
    <row r="2" ht="24" customHeight="1">
      <c r="A2" s="5"/>
      <c r="B2" s="5"/>
      <c r="C2" s="10"/>
      <c r="D2" s="5"/>
      <c r="E2" s="5"/>
      <c r="F2" s="6"/>
      <c r="G2" s="6"/>
      <c r="H2" s="6"/>
      <c r="I2" s="6"/>
      <c r="J2" s="6"/>
      <c r="K2" s="6"/>
      <c r="L2" s="7">
        <f>IF(COUNTA(A2:K2)=0,"",IF(AND(COUNTA(A2:E2)=5,COUNT(F2:K2)=6),"Complete","Incomplete"))</f>
      </c>
      <c r="M2" s="9">
        <f>IF(L2="Complete",AVERAGE(F2:K2),"")</f>
      </c>
      <c r="N2" s="10"/>
    </row>
    <row r="3" ht="24" customHeight="1">
      <c r="A3" s="5"/>
      <c r="B3" s="5"/>
      <c r="C3" s="10"/>
      <c r="D3" s="5"/>
      <c r="E3" s="5"/>
      <c r="F3" s="6"/>
      <c r="G3" s="6"/>
      <c r="H3" s="6"/>
      <c r="I3" s="6"/>
      <c r="J3" s="6"/>
      <c r="K3" s="6"/>
      <c r="L3" s="7">
        <f>IF(COUNTA(A3:K3)=0,"",IF(AND(COUNTA(A3:E3)=5,COUNT(F3:K3)=6),"Complete","Incomplete"))</f>
      </c>
      <c r="M3" s="9">
        <f>IF(L3="Complete",AVERAGE(F3:K3),"")</f>
      </c>
      <c r="N3" s="10"/>
    </row>
    <row r="4" ht="24" customHeight="1">
      <c r="A4" s="5"/>
      <c r="B4" s="5"/>
      <c r="C4" s="10"/>
      <c r="D4" s="5"/>
      <c r="E4" s="5"/>
      <c r="F4" s="6"/>
      <c r="G4" s="6"/>
      <c r="H4" s="6"/>
      <c r="I4" s="6"/>
      <c r="J4" s="6"/>
      <c r="K4" s="6"/>
      <c r="L4" s="7">
        <f>IF(COUNTA(A4:K4)=0,"",IF(AND(COUNTA(A4:E4)=5,COUNT(F4:K4)=6),"Complete","Incomplete"))</f>
      </c>
      <c r="M4" s="9">
        <f>IF(L4="Complete",AVERAGE(F4:K4),"")</f>
      </c>
      <c r="N4" s="10"/>
    </row>
    <row r="5" ht="24" customHeight="1">
      <c r="A5" s="5"/>
      <c r="B5" s="5"/>
      <c r="C5" s="10"/>
      <c r="D5" s="5"/>
      <c r="E5" s="5"/>
      <c r="F5" s="6"/>
      <c r="G5" s="6"/>
      <c r="H5" s="6"/>
      <c r="I5" s="6"/>
      <c r="J5" s="6"/>
      <c r="K5" s="6"/>
      <c r="L5" s="7">
        <f>IF(COUNTA(A5:K5)=0,"",IF(AND(COUNTA(A5:E5)=5,COUNT(F5:K5)=6),"Complete","Incomplete"))</f>
      </c>
      <c r="M5" s="9">
        <f>IF(L5="Complete",AVERAGE(F5:K5),"")</f>
      </c>
      <c r="N5" s="10"/>
    </row>
    <row r="6" ht="24" customHeight="1">
      <c r="A6" s="5"/>
      <c r="B6" s="5"/>
      <c r="C6" s="10"/>
      <c r="D6" s="5"/>
      <c r="E6" s="5"/>
      <c r="F6" s="6"/>
      <c r="G6" s="6"/>
      <c r="H6" s="6"/>
      <c r="I6" s="6"/>
      <c r="J6" s="6"/>
      <c r="K6" s="6"/>
      <c r="L6" s="7">
        <f>IF(COUNTA(A6:K6)=0,"",IF(AND(COUNTA(A6:E6)=5,COUNT(F6:K6)=6),"Complete","Incomplete"))</f>
      </c>
      <c r="M6" s="9">
        <f>IF(L6="Complete",AVERAGE(F6:K6),"")</f>
      </c>
      <c r="N6" s="10"/>
    </row>
    <row r="7" ht="24" customHeight="1">
      <c r="A7" s="5"/>
      <c r="B7" s="5"/>
      <c r="C7" s="10"/>
      <c r="D7" s="5"/>
      <c r="E7" s="5"/>
      <c r="F7" s="6"/>
      <c r="G7" s="6"/>
      <c r="H7" s="6"/>
      <c r="I7" s="6"/>
      <c r="J7" s="6"/>
      <c r="K7" s="6"/>
      <c r="L7" s="7">
        <f>IF(COUNTA(A7:K7)=0,"",IF(AND(COUNTA(A7:E7)=5,COUNT(F7:K7)=6),"Complete","Incomplete"))</f>
      </c>
      <c r="M7" s="9">
        <f>IF(L7="Complete",AVERAGE(F7:K7),"")</f>
      </c>
      <c r="N7" s="10"/>
    </row>
    <row r="8" ht="24" customHeight="1">
      <c r="A8" s="5"/>
      <c r="B8" s="5"/>
      <c r="C8" s="10"/>
      <c r="D8" s="5"/>
      <c r="E8" s="5"/>
      <c r="F8" s="6"/>
      <c r="G8" s="6"/>
      <c r="H8" s="6"/>
      <c r="I8" s="6"/>
      <c r="J8" s="6"/>
      <c r="K8" s="6"/>
      <c r="L8" s="7">
        <f>IF(COUNTA(A8:K8)=0,"",IF(AND(COUNTA(A8:E8)=5,COUNT(F8:K8)=6),"Complete","Incomplete"))</f>
      </c>
      <c r="M8" s="9">
        <f>IF(L8="Complete",AVERAGE(F8:K8),"")</f>
      </c>
      <c r="N8" s="10"/>
    </row>
    <row r="9" ht="24" customHeight="1">
      <c r="A9" s="5"/>
      <c r="B9" s="5"/>
      <c r="C9" s="10"/>
      <c r="D9" s="5"/>
      <c r="E9" s="5"/>
      <c r="F9" s="6"/>
      <c r="G9" s="6"/>
      <c r="H9" s="6"/>
      <c r="I9" s="6"/>
      <c r="J9" s="6"/>
      <c r="K9" s="6"/>
      <c r="L9" s="7">
        <f>IF(COUNTA(A9:K9)=0,"",IF(AND(COUNTA(A9:E9)=5,COUNT(F9:K9)=6),"Complete","Incomplete"))</f>
      </c>
      <c r="M9" s="9">
        <f>IF(L9="Complete",AVERAGE(F9:K9),"")</f>
      </c>
      <c r="N9" s="10"/>
    </row>
    <row r="10" ht="24" customHeight="1">
      <c r="A10" s="5"/>
      <c r="B10" s="5"/>
      <c r="C10" s="10"/>
      <c r="D10" s="5"/>
      <c r="E10" s="5"/>
      <c r="F10" s="6"/>
      <c r="G10" s="6"/>
      <c r="H10" s="6"/>
      <c r="I10" s="6"/>
      <c r="J10" s="6"/>
      <c r="K10" s="6"/>
      <c r="L10" s="7">
        <f>IF(COUNTA(A10:K10)=0,"",IF(AND(COUNTA(A10:E10)=5,COUNT(F10:K10)=6),"Complete","Incomplete"))</f>
      </c>
      <c r="M10" s="9">
        <f>IF(L10="Complete",AVERAGE(F10:K10),"")</f>
      </c>
      <c r="N10" s="10"/>
    </row>
    <row r="11" ht="24" customHeight="1">
      <c r="A11" s="5"/>
      <c r="B11" s="5"/>
      <c r="C11" s="10"/>
      <c r="D11" s="5"/>
      <c r="E11" s="5"/>
      <c r="F11" s="6"/>
      <c r="G11" s="6"/>
      <c r="H11" s="6"/>
      <c r="I11" s="6"/>
      <c r="J11" s="6"/>
      <c r="K11" s="6"/>
      <c r="L11" s="7">
        <f>IF(COUNTA(A11:K11)=0,"",IF(AND(COUNTA(A11:E11)=5,COUNT(F11:K11)=6),"Complete","Incomplete"))</f>
      </c>
      <c r="M11" s="9">
        <f>IF(L11="Complete",AVERAGE(F11:K11),"")</f>
      </c>
      <c r="N11" s="10"/>
    </row>
    <row r="12" ht="24" customHeight="1">
      <c r="A12" s="5"/>
      <c r="B12" s="5"/>
      <c r="C12" s="10"/>
      <c r="D12" s="5"/>
      <c r="E12" s="5"/>
      <c r="F12" s="6"/>
      <c r="G12" s="6"/>
      <c r="H12" s="6"/>
      <c r="I12" s="6"/>
      <c r="J12" s="6"/>
      <c r="K12" s="6"/>
      <c r="L12" s="7">
        <f>IF(COUNTA(A12:K12)=0,"",IF(AND(COUNTA(A12:E12)=5,COUNT(F12:K12)=6),"Complete","Incomplete"))</f>
      </c>
      <c r="M12" s="9">
        <f>IF(L12="Complete",AVERAGE(F12:K12),"")</f>
      </c>
      <c r="N12" s="10"/>
    </row>
    <row r="13" ht="24" customHeight="1">
      <c r="A13" s="5"/>
      <c r="B13" s="5"/>
      <c r="C13" s="10"/>
      <c r="D13" s="5"/>
      <c r="E13" s="5"/>
      <c r="F13" s="6"/>
      <c r="G13" s="6"/>
      <c r="H13" s="6"/>
      <c r="I13" s="6"/>
      <c r="J13" s="6"/>
      <c r="K13" s="6"/>
      <c r="L13" s="7">
        <f>IF(COUNTA(A13:K13)=0,"",IF(AND(COUNTA(A13:E13)=5,COUNT(F13:K13)=6),"Complete","Incomplete"))</f>
      </c>
      <c r="M13" s="9">
        <f>IF(L13="Complete",AVERAGE(F13:K13),"")</f>
      </c>
      <c r="N13" s="10"/>
    </row>
    <row r="14" ht="24" customHeight="1">
      <c r="A14" s="5"/>
      <c r="B14" s="5"/>
      <c r="C14" s="10"/>
      <c r="D14" s="5"/>
      <c r="E14" s="5"/>
      <c r="F14" s="6"/>
      <c r="G14" s="6"/>
      <c r="H14" s="6"/>
      <c r="I14" s="6"/>
      <c r="J14" s="6"/>
      <c r="K14" s="6"/>
      <c r="L14" s="7">
        <f>IF(COUNTA(A14:K14)=0,"",IF(AND(COUNTA(A14:E14)=5,COUNT(F14:K14)=6),"Complete","Incomplete"))</f>
      </c>
      <c r="M14" s="9">
        <f>IF(L14="Complete",AVERAGE(F14:K14),"")</f>
      </c>
      <c r="N14" s="10"/>
    </row>
    <row r="15" ht="24" customHeight="1">
      <c r="A15" s="5"/>
      <c r="B15" s="5"/>
      <c r="C15" s="10"/>
      <c r="D15" s="5"/>
      <c r="E15" s="5"/>
      <c r="F15" s="6"/>
      <c r="G15" s="6"/>
      <c r="H15" s="6"/>
      <c r="I15" s="6"/>
      <c r="J15" s="6"/>
      <c r="K15" s="6"/>
      <c r="L15" s="7">
        <f>IF(COUNTA(A15:K15)=0,"",IF(AND(COUNTA(A15:E15)=5,COUNT(F15:K15)=6),"Complete","Incomplete"))</f>
      </c>
      <c r="M15" s="9">
        <f>IF(L15="Complete",AVERAGE(F15:K15),"")</f>
      </c>
      <c r="N15" s="10"/>
    </row>
    <row r="16" ht="24" customHeight="1">
      <c r="A16" s="5"/>
      <c r="B16" s="5"/>
      <c r="C16" s="10"/>
      <c r="D16" s="5"/>
      <c r="E16" s="5"/>
      <c r="F16" s="6"/>
      <c r="G16" s="6"/>
      <c r="H16" s="6"/>
      <c r="I16" s="6"/>
      <c r="J16" s="6"/>
      <c r="K16" s="6"/>
      <c r="L16" s="7">
        <f>IF(COUNTA(A16:K16)=0,"",IF(AND(COUNTA(A16:E16)=5,COUNT(F16:K16)=6),"Complete","Incomplete"))</f>
      </c>
      <c r="M16" s="9">
        <f>IF(L16="Complete",AVERAGE(F16:K16),"")</f>
      </c>
      <c r="N16" s="10"/>
    </row>
    <row r="17" ht="24" customHeight="1">
      <c r="A17" s="5"/>
      <c r="B17" s="5"/>
      <c r="C17" s="10"/>
      <c r="D17" s="5"/>
      <c r="E17" s="5"/>
      <c r="F17" s="6"/>
      <c r="G17" s="6"/>
      <c r="H17" s="6"/>
      <c r="I17" s="6"/>
      <c r="J17" s="6"/>
      <c r="K17" s="6"/>
      <c r="L17" s="7">
        <f>IF(COUNTA(A17:K17)=0,"",IF(AND(COUNTA(A17:E17)=5,COUNT(F17:K17)=6),"Complete","Incomplete"))</f>
      </c>
      <c r="M17" s="9">
        <f>IF(L17="Complete",AVERAGE(F17:K17),"")</f>
      </c>
      <c r="N17" s="10"/>
    </row>
    <row r="18" ht="24" customHeight="1">
      <c r="A18" s="5"/>
      <c r="B18" s="5"/>
      <c r="C18" s="10"/>
      <c r="D18" s="5"/>
      <c r="E18" s="5"/>
      <c r="F18" s="6"/>
      <c r="G18" s="6"/>
      <c r="H18" s="6"/>
      <c r="I18" s="6"/>
      <c r="J18" s="6"/>
      <c r="K18" s="6"/>
      <c r="L18" s="7">
        <f>IF(COUNTA(A18:K18)=0,"",IF(AND(COUNTA(A18:E18)=5,COUNT(F18:K18)=6),"Complete","Incomplete"))</f>
      </c>
      <c r="M18" s="9">
        <f>IF(L18="Complete",AVERAGE(F18:K18),"")</f>
      </c>
      <c r="N18" s="10"/>
    </row>
    <row r="19" ht="24" customHeight="1">
      <c r="A19" s="5"/>
      <c r="B19" s="5"/>
      <c r="C19" s="10"/>
      <c r="D19" s="5"/>
      <c r="E19" s="5"/>
      <c r="F19" s="6"/>
      <c r="G19" s="6"/>
      <c r="H19" s="6"/>
      <c r="I19" s="6"/>
      <c r="J19" s="6"/>
      <c r="K19" s="6"/>
      <c r="L19" s="7">
        <f>IF(COUNTA(A19:K19)=0,"",IF(AND(COUNTA(A19:E19)=5,COUNT(F19:K19)=6),"Complete","Incomplete"))</f>
      </c>
      <c r="M19" s="9">
        <f>IF(L19="Complete",AVERAGE(F19:K19),"")</f>
      </c>
      <c r="N19" s="10"/>
    </row>
    <row r="20" ht="24" customHeight="1">
      <c r="A20" s="5"/>
      <c r="B20" s="5"/>
      <c r="C20" s="10"/>
      <c r="D20" s="5"/>
      <c r="E20" s="5"/>
      <c r="F20" s="6"/>
      <c r="G20" s="6"/>
      <c r="H20" s="6"/>
      <c r="I20" s="6"/>
      <c r="J20" s="6"/>
      <c r="K20" s="6"/>
      <c r="L20" s="7">
        <f>IF(COUNTA(A20:K20)=0,"",IF(AND(COUNTA(A20:E20)=5,COUNT(F20:K20)=6),"Complete","Incomplete"))</f>
      </c>
      <c r="M20" s="9">
        <f>IF(L20="Complete",AVERAGE(F20:K20),"")</f>
      </c>
      <c r="N20" s="10"/>
    </row>
    <row r="21" ht="24" customHeight="1">
      <c r="A21" s="5"/>
      <c r="B21" s="5"/>
      <c r="C21" s="10"/>
      <c r="D21" s="5"/>
      <c r="E21" s="5"/>
      <c r="F21" s="6"/>
      <c r="G21" s="6"/>
      <c r="H21" s="6"/>
      <c r="I21" s="6"/>
      <c r="J21" s="6"/>
      <c r="K21" s="6"/>
      <c r="L21" s="7">
        <f>IF(COUNTA(A21:K21)=0,"",IF(AND(COUNTA(A21:E21)=5,COUNT(F21:K21)=6),"Complete","Incomplete"))</f>
      </c>
      <c r="M21" s="9">
        <f>IF(L21="Complete",AVERAGE(F21:K21),"")</f>
      </c>
      <c r="N21" s="10"/>
    </row>
    <row r="22" ht="24" customHeight="1">
      <c r="A22" s="5"/>
      <c r="B22" s="5"/>
      <c r="C22" s="10"/>
      <c r="D22" s="5"/>
      <c r="E22" s="5"/>
      <c r="F22" s="6"/>
      <c r="G22" s="6"/>
      <c r="H22" s="6"/>
      <c r="I22" s="6"/>
      <c r="J22" s="6"/>
      <c r="K22" s="6"/>
      <c r="L22" s="7">
        <f>IF(COUNTA(A22:K22)=0,"",IF(AND(COUNTA(A22:E22)=5,COUNT(F22:K22)=6),"Complete","Incomplete"))</f>
      </c>
      <c r="M22" s="9">
        <f>IF(L22="Complete",AVERAGE(F22:K22),"")</f>
      </c>
      <c r="N22" s="10"/>
    </row>
    <row r="23" ht="24" customHeight="1">
      <c r="A23" s="5"/>
      <c r="B23" s="5"/>
      <c r="C23" s="10"/>
      <c r="D23" s="5"/>
      <c r="E23" s="5"/>
      <c r="F23" s="6"/>
      <c r="G23" s="6"/>
      <c r="H23" s="6"/>
      <c r="I23" s="6"/>
      <c r="J23" s="6"/>
      <c r="K23" s="6"/>
      <c r="L23" s="7">
        <f>IF(COUNTA(A23:K23)=0,"",IF(AND(COUNTA(A23:E23)=5,COUNT(F23:K23)=6),"Complete","Incomplete"))</f>
      </c>
      <c r="M23" s="9">
        <f>IF(L23="Complete",AVERAGE(F23:K23),"")</f>
      </c>
      <c r="N23" s="10"/>
    </row>
    <row r="24" ht="24" customHeight="1">
      <c r="A24" s="5"/>
      <c r="B24" s="5"/>
      <c r="C24" s="10"/>
      <c r="D24" s="5"/>
      <c r="E24" s="5"/>
      <c r="F24" s="6"/>
      <c r="G24" s="6"/>
      <c r="H24" s="6"/>
      <c r="I24" s="6"/>
      <c r="J24" s="6"/>
      <c r="K24" s="6"/>
      <c r="L24" s="7">
        <f>IF(COUNTA(A24:K24)=0,"",IF(AND(COUNTA(A24:E24)=5,COUNT(F24:K24)=6),"Complete","Incomplete"))</f>
      </c>
      <c r="M24" s="9">
        <f>IF(L24="Complete",AVERAGE(F24:K24),"")</f>
      </c>
      <c r="N24" s="10"/>
    </row>
    <row r="25" ht="24" customHeight="1">
      <c r="A25" s="5"/>
      <c r="B25" s="5"/>
      <c r="C25" s="10"/>
      <c r="D25" s="5"/>
      <c r="E25" s="5"/>
      <c r="F25" s="6"/>
      <c r="G25" s="6"/>
      <c r="H25" s="6"/>
      <c r="I25" s="6"/>
      <c r="J25" s="6"/>
      <c r="K25" s="6"/>
      <c r="L25" s="7">
        <f>IF(COUNTA(A25:K25)=0,"",IF(AND(COUNTA(A25:E25)=5,COUNT(F25:K25)=6),"Complete","Incomplete"))</f>
      </c>
      <c r="M25" s="9">
        <f>IF(L25="Complete",AVERAGE(F25:K25),"")</f>
      </c>
      <c r="N25" s="10"/>
    </row>
    <row r="26" ht="24" customHeight="1">
      <c r="A26" s="5"/>
      <c r="B26" s="5"/>
      <c r="C26" s="10"/>
      <c r="D26" s="5"/>
      <c r="E26" s="5"/>
      <c r="F26" s="6"/>
      <c r="G26" s="6"/>
      <c r="H26" s="6"/>
      <c r="I26" s="6"/>
      <c r="J26" s="6"/>
      <c r="K26" s="6"/>
      <c r="L26" s="7">
        <f>IF(COUNTA(A26:K26)=0,"",IF(AND(COUNTA(A26:E26)=5,COUNT(F26:K26)=6),"Complete","Incomplete"))</f>
      </c>
      <c r="M26" s="9">
        <f>IF(L26="Complete",AVERAGE(F26:K26),"")</f>
      </c>
      <c r="N26" s="10"/>
    </row>
    <row r="27" ht="24" customHeight="1">
      <c r="A27" s="5"/>
      <c r="B27" s="5"/>
      <c r="C27" s="10"/>
      <c r="D27" s="5"/>
      <c r="E27" s="5"/>
      <c r="F27" s="6"/>
      <c r="G27" s="6"/>
      <c r="H27" s="6"/>
      <c r="I27" s="6"/>
      <c r="J27" s="6"/>
      <c r="K27" s="6"/>
      <c r="L27" s="7">
        <f>IF(COUNTA(A27:K27)=0,"",IF(AND(COUNTA(A27:E27)=5,COUNT(F27:K27)=6),"Complete","Incomplete"))</f>
      </c>
      <c r="M27" s="9">
        <f>IF(L27="Complete",AVERAGE(F27:K27),"")</f>
      </c>
      <c r="N27" s="10"/>
    </row>
    <row r="28" ht="24" customHeight="1">
      <c r="A28" s="5"/>
      <c r="B28" s="5"/>
      <c r="C28" s="10"/>
      <c r="D28" s="5"/>
      <c r="E28" s="5"/>
      <c r="F28" s="6"/>
      <c r="G28" s="6"/>
      <c r="H28" s="6"/>
      <c r="I28" s="6"/>
      <c r="J28" s="6"/>
      <c r="K28" s="6"/>
      <c r="L28" s="7">
        <f>IF(COUNTA(A28:K28)=0,"",IF(AND(COUNTA(A28:E28)=5,COUNT(F28:K28)=6),"Complete","Incomplete"))</f>
      </c>
      <c r="M28" s="9">
        <f>IF(L28="Complete",AVERAGE(F28:K28),"")</f>
      </c>
      <c r="N28" s="10"/>
    </row>
    <row r="29" ht="24" customHeight="1">
      <c r="A29" s="5"/>
      <c r="B29" s="5"/>
      <c r="C29" s="10"/>
      <c r="D29" s="5"/>
      <c r="E29" s="5"/>
      <c r="F29" s="6"/>
      <c r="G29" s="6"/>
      <c r="H29" s="6"/>
      <c r="I29" s="6"/>
      <c r="J29" s="6"/>
      <c r="K29" s="6"/>
      <c r="L29" s="7">
        <f>IF(COUNTA(A29:K29)=0,"",IF(AND(COUNTA(A29:E29)=5,COUNT(F29:K29)=6),"Complete","Incomplete"))</f>
      </c>
      <c r="M29" s="9">
        <f>IF(L29="Complete",AVERAGE(F29:K29),"")</f>
      </c>
      <c r="N29" s="10"/>
    </row>
    <row r="30" ht="24" customHeight="1">
      <c r="A30" s="5"/>
      <c r="B30" s="5"/>
      <c r="C30" s="10"/>
      <c r="D30" s="5"/>
      <c r="E30" s="5"/>
      <c r="F30" s="6"/>
      <c r="G30" s="6"/>
      <c r="H30" s="6"/>
      <c r="I30" s="6"/>
      <c r="J30" s="6"/>
      <c r="K30" s="6"/>
      <c r="L30" s="7">
        <f>IF(COUNTA(A30:K30)=0,"",IF(AND(COUNTA(A30:E30)=5,COUNT(F30:K30)=6),"Complete","Incomplete"))</f>
      </c>
      <c r="M30" s="9">
        <f>IF(L30="Complete",AVERAGE(F30:K30),"")</f>
      </c>
      <c r="N30" s="10"/>
    </row>
    <row r="31" ht="24" customHeight="1">
      <c r="A31" s="5"/>
      <c r="B31" s="5"/>
      <c r="C31" s="10"/>
      <c r="D31" s="5"/>
      <c r="E31" s="5"/>
      <c r="F31" s="6"/>
      <c r="G31" s="6"/>
      <c r="H31" s="6"/>
      <c r="I31" s="6"/>
      <c r="J31" s="6"/>
      <c r="K31" s="6"/>
      <c r="L31" s="7">
        <f>IF(COUNTA(A31:K31)=0,"",IF(AND(COUNTA(A31:E31)=5,COUNT(F31:K31)=6),"Complete","Incomplete"))</f>
      </c>
      <c r="M31" s="9">
        <f>IF(L31="Complete",AVERAGE(F31:K31),"")</f>
      </c>
      <c r="N31" s="10"/>
    </row>
    <row r="32" ht="24" customHeight="1">
      <c r="A32" s="5"/>
      <c r="B32" s="5"/>
      <c r="C32" s="10"/>
      <c r="D32" s="5"/>
      <c r="E32" s="5"/>
      <c r="F32" s="6"/>
      <c r="G32" s="6"/>
      <c r="H32" s="6"/>
      <c r="I32" s="6"/>
      <c r="J32" s="6"/>
      <c r="K32" s="6"/>
      <c r="L32" s="7">
        <f>IF(COUNTA(A32:K32)=0,"",IF(AND(COUNTA(A32:E32)=5,COUNT(F32:K32)=6),"Complete","Incomplete"))</f>
      </c>
      <c r="M32" s="9">
        <f>IF(L32="Complete",AVERAGE(F32:K32),"")</f>
      </c>
      <c r="N32" s="10"/>
    </row>
    <row r="33" ht="24" customHeight="1">
      <c r="A33" s="5"/>
      <c r="B33" s="5"/>
      <c r="C33" s="10"/>
      <c r="D33" s="5"/>
      <c r="E33" s="5"/>
      <c r="F33" s="6"/>
      <c r="G33" s="6"/>
      <c r="H33" s="6"/>
      <c r="I33" s="6"/>
      <c r="J33" s="6"/>
      <c r="K33" s="6"/>
      <c r="L33" s="7">
        <f>IF(COUNTA(A33:K33)=0,"",IF(AND(COUNTA(A33:E33)=5,COUNT(F33:K33)=6),"Complete","Incomplete"))</f>
      </c>
      <c r="M33" s="9">
        <f>IF(L33="Complete",AVERAGE(F33:K33),"")</f>
      </c>
      <c r="N33" s="10"/>
    </row>
    <row r="34" ht="24" customHeight="1">
      <c r="A34" s="5"/>
      <c r="B34" s="5"/>
      <c r="C34" s="10"/>
      <c r="D34" s="5"/>
      <c r="E34" s="5"/>
      <c r="F34" s="6"/>
      <c r="G34" s="6"/>
      <c r="H34" s="6"/>
      <c r="I34" s="6"/>
      <c r="J34" s="6"/>
      <c r="K34" s="6"/>
      <c r="L34" s="7">
        <f>IF(COUNTA(A34:K34)=0,"",IF(AND(COUNTA(A34:E34)=5,COUNT(F34:K34)=6),"Complete","Incomplete"))</f>
      </c>
      <c r="M34" s="9">
        <f>IF(L34="Complete",AVERAGE(F34:K34),"")</f>
      </c>
      <c r="N34" s="10"/>
    </row>
    <row r="35" ht="24" customHeight="1">
      <c r="A35" s="5"/>
      <c r="B35" s="5"/>
      <c r="C35" s="10"/>
      <c r="D35" s="5"/>
      <c r="E35" s="5"/>
      <c r="F35" s="6"/>
      <c r="G35" s="6"/>
      <c r="H35" s="6"/>
      <c r="I35" s="6"/>
      <c r="J35" s="6"/>
      <c r="K35" s="6"/>
      <c r="L35" s="7">
        <f>IF(COUNTA(A35:K35)=0,"",IF(AND(COUNTA(A35:E35)=5,COUNT(F35:K35)=6),"Complete","Incomplete"))</f>
      </c>
      <c r="M35" s="9">
        <f>IF(L35="Complete",AVERAGE(F35:K35),"")</f>
      </c>
      <c r="N35" s="10"/>
    </row>
    <row r="36" ht="24" customHeight="1">
      <c r="A36" s="5"/>
      <c r="B36" s="5"/>
      <c r="C36" s="10"/>
      <c r="D36" s="5"/>
      <c r="E36" s="5"/>
      <c r="F36" s="6"/>
      <c r="G36" s="6"/>
      <c r="H36" s="6"/>
      <c r="I36" s="6"/>
      <c r="J36" s="6"/>
      <c r="K36" s="6"/>
      <c r="L36" s="7">
        <f>IF(COUNTA(A36:K36)=0,"",IF(AND(COUNTA(A36:E36)=5,COUNT(F36:K36)=6),"Complete","Incomplete"))</f>
      </c>
      <c r="M36" s="9">
        <f>IF(L36="Complete",AVERAGE(F36:K36),"")</f>
      </c>
      <c r="N36" s="10"/>
    </row>
    <row r="37" ht="24" customHeight="1">
      <c r="A37" s="5"/>
      <c r="B37" s="5"/>
      <c r="C37" s="10"/>
      <c r="D37" s="5"/>
      <c r="E37" s="5"/>
      <c r="F37" s="6"/>
      <c r="G37" s="6"/>
      <c r="H37" s="6"/>
      <c r="I37" s="6"/>
      <c r="J37" s="6"/>
      <c r="K37" s="6"/>
      <c r="L37" s="7">
        <f>IF(COUNTA(A37:K37)=0,"",IF(AND(COUNTA(A37:E37)=5,COUNT(F37:K37)=6),"Complete","Incomplete"))</f>
      </c>
      <c r="M37" s="9">
        <f>IF(L37="Complete",AVERAGE(F37:K37),"")</f>
      </c>
      <c r="N37" s="10"/>
    </row>
    <row r="38" ht="24" customHeight="1">
      <c r="A38" s="5"/>
      <c r="B38" s="5"/>
      <c r="C38" s="10"/>
      <c r="D38" s="5"/>
      <c r="E38" s="5"/>
      <c r="F38" s="6"/>
      <c r="G38" s="6"/>
      <c r="H38" s="6"/>
      <c r="I38" s="6"/>
      <c r="J38" s="6"/>
      <c r="K38" s="6"/>
      <c r="L38" s="7">
        <f>IF(COUNTA(A38:K38)=0,"",IF(AND(COUNTA(A38:E38)=5,COUNT(F38:K38)=6),"Complete","Incomplete"))</f>
      </c>
      <c r="M38" s="9">
        <f>IF(L38="Complete",AVERAGE(F38:K38),"")</f>
      </c>
      <c r="N38" s="10"/>
    </row>
    <row r="39" ht="24" customHeight="1">
      <c r="A39" s="5"/>
      <c r="B39" s="5"/>
      <c r="C39" s="10"/>
      <c r="D39" s="5"/>
      <c r="E39" s="5"/>
      <c r="F39" s="6"/>
      <c r="G39" s="6"/>
      <c r="H39" s="6"/>
      <c r="I39" s="6"/>
      <c r="J39" s="6"/>
      <c r="K39" s="6"/>
      <c r="L39" s="7">
        <f>IF(COUNTA(A39:K39)=0,"",IF(AND(COUNTA(A39:E39)=5,COUNT(F39:K39)=6),"Complete","Incomplete"))</f>
      </c>
      <c r="M39" s="9">
        <f>IF(L39="Complete",AVERAGE(F39:K39),"")</f>
      </c>
      <c r="N39" s="10"/>
    </row>
    <row r="40" ht="24" customHeight="1">
      <c r="A40" s="5"/>
      <c r="B40" s="5"/>
      <c r="C40" s="10"/>
      <c r="D40" s="5"/>
      <c r="E40" s="5"/>
      <c r="F40" s="6"/>
      <c r="G40" s="6"/>
      <c r="H40" s="6"/>
      <c r="I40" s="6"/>
      <c r="J40" s="6"/>
      <c r="K40" s="6"/>
      <c r="L40" s="7">
        <f>IF(COUNTA(A40:K40)=0,"",IF(AND(COUNTA(A40:E40)=5,COUNT(F40:K40)=6),"Complete","Incomplete"))</f>
      </c>
      <c r="M40" s="9">
        <f>IF(L40="Complete",AVERAGE(F40:K40),"")</f>
      </c>
      <c r="N40" s="10"/>
    </row>
    <row r="41" ht="24" customHeight="1">
      <c r="A41" s="5"/>
      <c r="B41" s="5"/>
      <c r="C41" s="10"/>
      <c r="D41" s="5"/>
      <c r="E41" s="5"/>
      <c r="F41" s="6"/>
      <c r="G41" s="6"/>
      <c r="H41" s="6"/>
      <c r="I41" s="6"/>
      <c r="J41" s="6"/>
      <c r="K41" s="6"/>
      <c r="L41" s="7">
        <f>IF(COUNTA(A41:K41)=0,"",IF(AND(COUNTA(A41:E41)=5,COUNT(F41:K41)=6),"Complete","Incomplete"))</f>
      </c>
      <c r="M41" s="9">
        <f>IF(L41="Complete",AVERAGE(F41:K41),"")</f>
      </c>
      <c r="N41" s="10"/>
    </row>
    <row r="42" ht="24" customHeight="1">
      <c r="A42" s="5"/>
      <c r="B42" s="5"/>
      <c r="C42" s="10"/>
      <c r="D42" s="5"/>
      <c r="E42" s="5"/>
      <c r="F42" s="6"/>
      <c r="G42" s="6"/>
      <c r="H42" s="6"/>
      <c r="I42" s="6"/>
      <c r="J42" s="6"/>
      <c r="K42" s="6"/>
      <c r="L42" s="7">
        <f>IF(COUNTA(A42:K42)=0,"",IF(AND(COUNTA(A42:E42)=5,COUNT(F42:K42)=6),"Complete","Incomplete"))</f>
      </c>
      <c r="M42" s="9">
        <f>IF(L42="Complete",AVERAGE(F42:K42),"")</f>
      </c>
      <c r="N42" s="10"/>
    </row>
    <row r="43" ht="24" customHeight="1">
      <c r="A43" s="5"/>
      <c r="B43" s="5"/>
      <c r="C43" s="10"/>
      <c r="D43" s="5"/>
      <c r="E43" s="5"/>
      <c r="F43" s="6"/>
      <c r="G43" s="6"/>
      <c r="H43" s="6"/>
      <c r="I43" s="6"/>
      <c r="J43" s="6"/>
      <c r="K43" s="6"/>
      <c r="L43" s="7">
        <f>IF(COUNTA(A43:K43)=0,"",IF(AND(COUNTA(A43:E43)=5,COUNT(F43:K43)=6),"Complete","Incomplete"))</f>
      </c>
      <c r="M43" s="9">
        <f>IF(L43="Complete",AVERAGE(F43:K43),"")</f>
      </c>
      <c r="N43" s="10"/>
    </row>
    <row r="44" ht="24" customHeight="1">
      <c r="A44" s="5"/>
      <c r="B44" s="5"/>
      <c r="C44" s="10"/>
      <c r="D44" s="5"/>
      <c r="E44" s="5"/>
      <c r="F44" s="6"/>
      <c r="G44" s="6"/>
      <c r="H44" s="6"/>
      <c r="I44" s="6"/>
      <c r="J44" s="6"/>
      <c r="K44" s="6"/>
      <c r="L44" s="7">
        <f>IF(COUNTA(A44:K44)=0,"",IF(AND(COUNTA(A44:E44)=5,COUNT(F44:K44)=6),"Complete","Incomplete"))</f>
      </c>
      <c r="M44" s="9">
        <f>IF(L44="Complete",AVERAGE(F44:K44),"")</f>
      </c>
      <c r="N44" s="10"/>
    </row>
    <row r="45" ht="24" customHeight="1">
      <c r="A45" s="5"/>
      <c r="B45" s="5"/>
      <c r="C45" s="10"/>
      <c r="D45" s="5"/>
      <c r="E45" s="5"/>
      <c r="F45" s="6"/>
      <c r="G45" s="6"/>
      <c r="H45" s="6"/>
      <c r="I45" s="6"/>
      <c r="J45" s="6"/>
      <c r="K45" s="6"/>
      <c r="L45" s="7">
        <f>IF(COUNTA(A45:K45)=0,"",IF(AND(COUNTA(A45:E45)=5,COUNT(F45:K45)=6),"Complete","Incomplete"))</f>
      </c>
      <c r="M45" s="9">
        <f>IF(L45="Complete",AVERAGE(F45:K45),"")</f>
      </c>
      <c r="N45" s="10"/>
    </row>
    <row r="46" ht="24" customHeight="1">
      <c r="A46" s="5"/>
      <c r="B46" s="5"/>
      <c r="C46" s="10"/>
      <c r="D46" s="5"/>
      <c r="E46" s="5"/>
      <c r="F46" s="6"/>
      <c r="G46" s="6"/>
      <c r="H46" s="6"/>
      <c r="I46" s="6"/>
      <c r="J46" s="6"/>
      <c r="K46" s="6"/>
      <c r="L46" s="7">
        <f>IF(COUNTA(A46:K46)=0,"",IF(AND(COUNTA(A46:E46)=5,COUNT(F46:K46)=6),"Complete","Incomplete"))</f>
      </c>
      <c r="M46" s="9">
        <f>IF(L46="Complete",AVERAGE(F46:K46),"")</f>
      </c>
      <c r="N46" s="10"/>
    </row>
    <row r="47" ht="24" customHeight="1">
      <c r="A47" s="5"/>
      <c r="B47" s="5"/>
      <c r="C47" s="10"/>
      <c r="D47" s="5"/>
      <c r="E47" s="5"/>
      <c r="F47" s="6"/>
      <c r="G47" s="6"/>
      <c r="H47" s="6"/>
      <c r="I47" s="6"/>
      <c r="J47" s="6"/>
      <c r="K47" s="6"/>
      <c r="L47" s="7">
        <f>IF(COUNTA(A47:K47)=0,"",IF(AND(COUNTA(A47:E47)=5,COUNT(F47:K47)=6),"Complete","Incomplete"))</f>
      </c>
      <c r="M47" s="9">
        <f>IF(L47="Complete",AVERAGE(F47:K47),"")</f>
      </c>
      <c r="N47" s="10"/>
    </row>
    <row r="48" ht="24" customHeight="1">
      <c r="A48" s="5"/>
      <c r="B48" s="5"/>
      <c r="C48" s="10"/>
      <c r="D48" s="5"/>
      <c r="E48" s="5"/>
      <c r="F48" s="6"/>
      <c r="G48" s="6"/>
      <c r="H48" s="6"/>
      <c r="I48" s="6"/>
      <c r="J48" s="6"/>
      <c r="K48" s="6"/>
      <c r="L48" s="7">
        <f>IF(COUNTA(A48:K48)=0,"",IF(AND(COUNTA(A48:E48)=5,COUNT(F48:K48)=6),"Complete","Incomplete"))</f>
      </c>
      <c r="M48" s="9">
        <f>IF(L48="Complete",AVERAGE(F48:K48),"")</f>
      </c>
      <c r="N48" s="10"/>
    </row>
    <row r="49" ht="24" customHeight="1">
      <c r="A49" s="5"/>
      <c r="B49" s="5"/>
      <c r="C49" s="10"/>
      <c r="D49" s="5"/>
      <c r="E49" s="5"/>
      <c r="F49" s="6"/>
      <c r="G49" s="6"/>
      <c r="H49" s="6"/>
      <c r="I49" s="6"/>
      <c r="J49" s="6"/>
      <c r="K49" s="6"/>
      <c r="L49" s="7">
        <f>IF(COUNTA(A49:K49)=0,"",IF(AND(COUNTA(A49:E49)=5,COUNT(F49:K49)=6),"Complete","Incomplete"))</f>
      </c>
      <c r="M49" s="9">
        <f>IF(L49="Complete",AVERAGE(F49:K49),"")</f>
      </c>
      <c r="N49" s="10"/>
    </row>
    <row r="50" ht="24" customHeight="1">
      <c r="A50" s="5"/>
      <c r="B50" s="5"/>
      <c r="C50" s="10"/>
      <c r="D50" s="5"/>
      <c r="E50" s="5"/>
      <c r="F50" s="6"/>
      <c r="G50" s="6"/>
      <c r="H50" s="6"/>
      <c r="I50" s="6"/>
      <c r="J50" s="6"/>
      <c r="K50" s="6"/>
      <c r="L50" s="7">
        <f>IF(COUNTA(A50:K50)=0,"",IF(AND(COUNTA(A50:E50)=5,COUNT(F50:K50)=6),"Complete","Incomplete"))</f>
      </c>
      <c r="M50" s="9">
        <f>IF(L50="Complete",AVERAGE(F50:K50),"")</f>
      </c>
      <c r="N50" s="10"/>
    </row>
    <row r="51" ht="24" customHeight="1">
      <c r="A51" s="5"/>
      <c r="B51" s="5"/>
      <c r="C51" s="10"/>
      <c r="D51" s="5"/>
      <c r="E51" s="5"/>
      <c r="F51" s="6"/>
      <c r="G51" s="6"/>
      <c r="H51" s="6"/>
      <c r="I51" s="6"/>
      <c r="J51" s="6"/>
      <c r="K51" s="6"/>
      <c r="L51" s="7">
        <f>IF(COUNTA(A51:K51)=0,"",IF(AND(COUNTA(A51:E51)=5,COUNT(F51:K51)=6),"Complete","Incomplete"))</f>
      </c>
      <c r="M51" s="9">
        <f>IF(L51="Complete",AVERAGE(F51:K51),"")</f>
      </c>
      <c r="N51" s="10"/>
    </row>
    <row r="52" ht="24" customHeight="1">
      <c r="A52" s="5"/>
      <c r="B52" s="5"/>
      <c r="C52" s="10"/>
      <c r="D52" s="5"/>
      <c r="E52" s="5"/>
      <c r="F52" s="6"/>
      <c r="G52" s="6"/>
      <c r="H52" s="6"/>
      <c r="I52" s="6"/>
      <c r="J52" s="6"/>
      <c r="K52" s="6"/>
      <c r="L52" s="7">
        <f>IF(COUNTA(A52:K52)=0,"",IF(AND(COUNTA(A52:E52)=5,COUNT(F52:K52)=6),"Complete","Incomplete"))</f>
      </c>
      <c r="M52" s="9">
        <f>IF(L52="Complete",AVERAGE(F52:K52),"")</f>
      </c>
      <c r="N52" s="10"/>
    </row>
    <row r="53" ht="24" customHeight="1">
      <c r="A53" s="5"/>
      <c r="B53" s="5"/>
      <c r="C53" s="10"/>
      <c r="D53" s="5"/>
      <c r="E53" s="5"/>
      <c r="F53" s="6"/>
      <c r="G53" s="6"/>
      <c r="H53" s="6"/>
      <c r="I53" s="6"/>
      <c r="J53" s="6"/>
      <c r="K53" s="6"/>
      <c r="L53" s="7">
        <f>IF(COUNTA(A53:K53)=0,"",IF(AND(COUNTA(A53:E53)=5,COUNT(F53:K53)=6),"Complete","Incomplete"))</f>
      </c>
      <c r="M53" s="9">
        <f>IF(L53="Complete",AVERAGE(F53:K53),"")</f>
      </c>
      <c r="N53" s="10"/>
    </row>
    <row r="54" ht="24" customHeight="1">
      <c r="A54" s="5"/>
      <c r="B54" s="5"/>
      <c r="C54" s="10"/>
      <c r="D54" s="5"/>
      <c r="E54" s="5"/>
      <c r="F54" s="6"/>
      <c r="G54" s="6"/>
      <c r="H54" s="6"/>
      <c r="I54" s="6"/>
      <c r="J54" s="6"/>
      <c r="K54" s="6"/>
      <c r="L54" s="7">
        <f>IF(COUNTA(A54:K54)=0,"",IF(AND(COUNTA(A54:E54)=5,COUNT(F54:K54)=6),"Complete","Incomplete"))</f>
      </c>
      <c r="M54" s="9">
        <f>IF(L54="Complete",AVERAGE(F54:K54),"")</f>
      </c>
      <c r="N54" s="10"/>
    </row>
    <row r="55" ht="24" customHeight="1">
      <c r="A55" s="5"/>
      <c r="B55" s="5"/>
      <c r="C55" s="10"/>
      <c r="D55" s="5"/>
      <c r="E55" s="5"/>
      <c r="F55" s="6"/>
      <c r="G55" s="6"/>
      <c r="H55" s="6"/>
      <c r="I55" s="6"/>
      <c r="J55" s="6"/>
      <c r="K55" s="6"/>
      <c r="L55" s="7">
        <f>IF(COUNTA(A55:K55)=0,"",IF(AND(COUNTA(A55:E55)=5,COUNT(F55:K55)=6),"Complete","Incomplete"))</f>
      </c>
      <c r="M55" s="9">
        <f>IF(L55="Complete",AVERAGE(F55:K55),"")</f>
      </c>
      <c r="N55" s="10"/>
    </row>
    <row r="56" ht="24" customHeight="1">
      <c r="A56" s="5"/>
      <c r="B56" s="5"/>
      <c r="C56" s="10"/>
      <c r="D56" s="5"/>
      <c r="E56" s="5"/>
      <c r="F56" s="6"/>
      <c r="G56" s="6"/>
      <c r="H56" s="6"/>
      <c r="I56" s="6"/>
      <c r="J56" s="6"/>
      <c r="K56" s="6"/>
      <c r="L56" s="7">
        <f>IF(COUNTA(A56:K56)=0,"",IF(AND(COUNTA(A56:E56)=5,COUNT(F56:K56)=6),"Complete","Incomplete"))</f>
      </c>
      <c r="M56" s="9">
        <f>IF(L56="Complete",AVERAGE(F56:K56),"")</f>
      </c>
      <c r="N56" s="10"/>
    </row>
    <row r="57" ht="24" customHeight="1">
      <c r="A57" s="5"/>
      <c r="B57" s="5"/>
      <c r="C57" s="10"/>
      <c r="D57" s="5"/>
      <c r="E57" s="5"/>
      <c r="F57" s="6"/>
      <c r="G57" s="6"/>
      <c r="H57" s="6"/>
      <c r="I57" s="6"/>
      <c r="J57" s="6"/>
      <c r="K57" s="6"/>
      <c r="L57" s="7">
        <f>IF(COUNTA(A57:K57)=0,"",IF(AND(COUNTA(A57:E57)=5,COUNT(F57:K57)=6),"Complete","Incomplete"))</f>
      </c>
      <c r="M57" s="9">
        <f>IF(L57="Complete",AVERAGE(F57:K57),"")</f>
      </c>
      <c r="N57" s="10"/>
    </row>
    <row r="58" ht="24" customHeight="1">
      <c r="A58" s="5"/>
      <c r="B58" s="5"/>
      <c r="C58" s="10"/>
      <c r="D58" s="5"/>
      <c r="E58" s="5"/>
      <c r="F58" s="6"/>
      <c r="G58" s="6"/>
      <c r="H58" s="6"/>
      <c r="I58" s="6"/>
      <c r="J58" s="6"/>
      <c r="K58" s="6"/>
      <c r="L58" s="7">
        <f>IF(COUNTA(A58:K58)=0,"",IF(AND(COUNTA(A58:E58)=5,COUNT(F58:K58)=6),"Complete","Incomplete"))</f>
      </c>
      <c r="M58" s="9">
        <f>IF(L58="Complete",AVERAGE(F58:K58),"")</f>
      </c>
      <c r="N58" s="10"/>
    </row>
    <row r="59" ht="24" customHeight="1">
      <c r="A59" s="5"/>
      <c r="B59" s="5"/>
      <c r="C59" s="10"/>
      <c r="D59" s="5"/>
      <c r="E59" s="5"/>
      <c r="F59" s="6"/>
      <c r="G59" s="6"/>
      <c r="H59" s="6"/>
      <c r="I59" s="6"/>
      <c r="J59" s="6"/>
      <c r="K59" s="6"/>
      <c r="L59" s="7">
        <f>IF(COUNTA(A59:K59)=0,"",IF(AND(COUNTA(A59:E59)=5,COUNT(F59:K59)=6),"Complete","Incomplete"))</f>
      </c>
      <c r="M59" s="9">
        <f>IF(L59="Complete",AVERAGE(F59:K59),"")</f>
      </c>
      <c r="N59" s="10"/>
    </row>
    <row r="60" ht="24" customHeight="1">
      <c r="A60" s="5"/>
      <c r="B60" s="5"/>
      <c r="C60" s="10"/>
      <c r="D60" s="5"/>
      <c r="E60" s="5"/>
      <c r="F60" s="6"/>
      <c r="G60" s="6"/>
      <c r="H60" s="6"/>
      <c r="I60" s="6"/>
      <c r="J60" s="6"/>
      <c r="K60" s="6"/>
      <c r="L60" s="7">
        <f>IF(COUNTA(A60:K60)=0,"",IF(AND(COUNTA(A60:E60)=5,COUNT(F60:K60)=6),"Complete","Incomplete"))</f>
      </c>
      <c r="M60" s="9">
        <f>IF(L60="Complete",AVERAGE(F60:K60),"")</f>
      </c>
      <c r="N60" s="10"/>
    </row>
    <row r="61" ht="24" customHeight="1">
      <c r="A61" s="5"/>
      <c r="B61" s="5"/>
      <c r="C61" s="10"/>
      <c r="D61" s="5"/>
      <c r="E61" s="5"/>
      <c r="F61" s="6"/>
      <c r="G61" s="6"/>
      <c r="H61" s="6"/>
      <c r="I61" s="6"/>
      <c r="J61" s="6"/>
      <c r="K61" s="6"/>
      <c r="L61" s="7">
        <f>IF(COUNTA(A61:K61)=0,"",IF(AND(COUNTA(A61:E61)=5,COUNT(F61:K61)=6),"Complete","Incomplete"))</f>
      </c>
      <c r="M61" s="9">
        <f>IF(L61="Complete",AVERAGE(F61:K61),"")</f>
      </c>
      <c r="N61" s="10"/>
    </row>
    <row r="62" ht="24" customHeight="1">
      <c r="A62" s="5"/>
      <c r="B62" s="5"/>
      <c r="C62" s="10"/>
      <c r="D62" s="5"/>
      <c r="E62" s="5"/>
      <c r="F62" s="6"/>
      <c r="G62" s="6"/>
      <c r="H62" s="6"/>
      <c r="I62" s="6"/>
      <c r="J62" s="6"/>
      <c r="K62" s="6"/>
      <c r="L62" s="7">
        <f>IF(COUNTA(A62:K62)=0,"",IF(AND(COUNTA(A62:E62)=5,COUNT(F62:K62)=6),"Complete","Incomplete"))</f>
      </c>
      <c r="M62" s="9">
        <f>IF(L62="Complete",AVERAGE(F62:K62),"")</f>
      </c>
      <c r="N62" s="10"/>
    </row>
    <row r="63" ht="24" customHeight="1">
      <c r="A63" s="5"/>
      <c r="B63" s="5"/>
      <c r="C63" s="10"/>
      <c r="D63" s="5"/>
      <c r="E63" s="5"/>
      <c r="F63" s="6"/>
      <c r="G63" s="6"/>
      <c r="H63" s="6"/>
      <c r="I63" s="6"/>
      <c r="J63" s="6"/>
      <c r="K63" s="6"/>
      <c r="L63" s="7">
        <f>IF(COUNTA(A63:K63)=0,"",IF(AND(COUNTA(A63:E63)=5,COUNT(F63:K63)=6),"Complete","Incomplete"))</f>
      </c>
      <c r="M63" s="9">
        <f>IF(L63="Complete",AVERAGE(F63:K63),"")</f>
      </c>
      <c r="N63" s="10"/>
    </row>
    <row r="64" ht="24" customHeight="1">
      <c r="A64" s="5"/>
      <c r="B64" s="5"/>
      <c r="C64" s="10"/>
      <c r="D64" s="5"/>
      <c r="E64" s="5"/>
      <c r="F64" s="6"/>
      <c r="G64" s="6"/>
      <c r="H64" s="6"/>
      <c r="I64" s="6"/>
      <c r="J64" s="6"/>
      <c r="K64" s="6"/>
      <c r="L64" s="7">
        <f>IF(COUNTA(A64:K64)=0,"",IF(AND(COUNTA(A64:E64)=5,COUNT(F64:K64)=6),"Complete","Incomplete"))</f>
      </c>
      <c r="M64" s="9">
        <f>IF(L64="Complete",AVERAGE(F64:K64),"")</f>
      </c>
      <c r="N64" s="10"/>
    </row>
    <row r="65" ht="24" customHeight="1">
      <c r="A65" s="5"/>
      <c r="B65" s="5"/>
      <c r="C65" s="10"/>
      <c r="D65" s="5"/>
      <c r="E65" s="5"/>
      <c r="F65" s="6"/>
      <c r="G65" s="6"/>
      <c r="H65" s="6"/>
      <c r="I65" s="6"/>
      <c r="J65" s="6"/>
      <c r="K65" s="6"/>
      <c r="L65" s="7">
        <f>IF(COUNTA(A65:K65)=0,"",IF(AND(COUNTA(A65:E65)=5,COUNT(F65:K65)=6),"Complete","Incomplete"))</f>
      </c>
      <c r="M65" s="9">
        <f>IF(L65="Complete",AVERAGE(F65:K65),"")</f>
      </c>
      <c r="N65" s="10"/>
    </row>
    <row r="66" ht="24" customHeight="1">
      <c r="A66" s="5"/>
      <c r="B66" s="5"/>
      <c r="C66" s="10"/>
      <c r="D66" s="5"/>
      <c r="E66" s="5"/>
      <c r="F66" s="6"/>
      <c r="G66" s="6"/>
      <c r="H66" s="6"/>
      <c r="I66" s="6"/>
      <c r="J66" s="6"/>
      <c r="K66" s="6"/>
      <c r="L66" s="7">
        <f>IF(COUNTA(A66:K66)=0,"",IF(AND(COUNTA(A66:E66)=5,COUNT(F66:K66)=6),"Complete","Incomplete"))</f>
      </c>
      <c r="M66" s="9">
        <f>IF(L66="Complete",AVERAGE(F66:K66),"")</f>
      </c>
      <c r="N66" s="10"/>
    </row>
    <row r="67" ht="24" customHeight="1">
      <c r="A67" s="5"/>
      <c r="B67" s="5"/>
      <c r="C67" s="10"/>
      <c r="D67" s="5"/>
      <c r="E67" s="5"/>
      <c r="F67" s="6"/>
      <c r="G67" s="6"/>
      <c r="H67" s="6"/>
      <c r="I67" s="6"/>
      <c r="J67" s="6"/>
      <c r="K67" s="6"/>
      <c r="L67" s="7">
        <f>IF(COUNTA(A67:K67)=0,"",IF(AND(COUNTA(A67:E67)=5,COUNT(F67:K67)=6),"Complete","Incomplete"))</f>
      </c>
      <c r="M67" s="9">
        <f>IF(L67="Complete",AVERAGE(F67:K67),"")</f>
      </c>
      <c r="N67" s="10"/>
    </row>
    <row r="68" ht="24" customHeight="1">
      <c r="A68" s="5"/>
      <c r="B68" s="5"/>
      <c r="C68" s="10"/>
      <c r="D68" s="5"/>
      <c r="E68" s="5"/>
      <c r="F68" s="6"/>
      <c r="G68" s="6"/>
      <c r="H68" s="6"/>
      <c r="I68" s="6"/>
      <c r="J68" s="6"/>
      <c r="K68" s="6"/>
      <c r="L68" s="7">
        <f>IF(COUNTA(A68:K68)=0,"",IF(AND(COUNTA(A68:E68)=5,COUNT(F68:K68)=6),"Complete","Incomplete"))</f>
      </c>
      <c r="M68" s="9">
        <f>IF(L68="Complete",AVERAGE(F68:K68),"")</f>
      </c>
      <c r="N68" s="10"/>
    </row>
    <row r="69" ht="24" customHeight="1">
      <c r="A69" s="5"/>
      <c r="B69" s="5"/>
      <c r="C69" s="10"/>
      <c r="D69" s="5"/>
      <c r="E69" s="5"/>
      <c r="F69" s="6"/>
      <c r="G69" s="6"/>
      <c r="H69" s="6"/>
      <c r="I69" s="6"/>
      <c r="J69" s="6"/>
      <c r="K69" s="6"/>
      <c r="L69" s="7">
        <f>IF(COUNTA(A69:K69)=0,"",IF(AND(COUNTA(A69:E69)=5,COUNT(F69:K69)=6),"Complete","Incomplete"))</f>
      </c>
      <c r="M69" s="9">
        <f>IF(L69="Complete",AVERAGE(F69:K69),"")</f>
      </c>
      <c r="N69" s="10"/>
    </row>
    <row r="70" ht="24" customHeight="1">
      <c r="A70" s="5"/>
      <c r="B70" s="5"/>
      <c r="C70" s="10"/>
      <c r="D70" s="5"/>
      <c r="E70" s="5"/>
      <c r="F70" s="6"/>
      <c r="G70" s="6"/>
      <c r="H70" s="6"/>
      <c r="I70" s="6"/>
      <c r="J70" s="6"/>
      <c r="K70" s="6"/>
      <c r="L70" s="7">
        <f>IF(COUNTA(A70:K70)=0,"",IF(AND(COUNTA(A70:E70)=5,COUNT(F70:K70)=6),"Complete","Incomplete"))</f>
      </c>
      <c r="M70" s="9">
        <f>IF(L70="Complete",AVERAGE(F70:K70),"")</f>
      </c>
      <c r="N70" s="10"/>
    </row>
    <row r="71" ht="24" customHeight="1">
      <c r="A71" s="5"/>
      <c r="B71" s="5"/>
      <c r="C71" s="10"/>
      <c r="D71" s="5"/>
      <c r="E71" s="5"/>
      <c r="F71" s="6"/>
      <c r="G71" s="6"/>
      <c r="H71" s="6"/>
      <c r="I71" s="6"/>
      <c r="J71" s="6"/>
      <c r="K71" s="6"/>
      <c r="L71" s="7">
        <f>IF(COUNTA(A71:K71)=0,"",IF(AND(COUNTA(A71:E71)=5,COUNT(F71:K71)=6),"Complete","Incomplete"))</f>
      </c>
      <c r="M71" s="9">
        <f>IF(L71="Complete",AVERAGE(F71:K71),"")</f>
      </c>
      <c r="N71" s="10"/>
    </row>
    <row r="72" ht="24" customHeight="1">
      <c r="A72" s="5"/>
      <c r="B72" s="5"/>
      <c r="C72" s="10"/>
      <c r="D72" s="5"/>
      <c r="E72" s="5"/>
      <c r="F72" s="6"/>
      <c r="G72" s="6"/>
      <c r="H72" s="6"/>
      <c r="I72" s="6"/>
      <c r="J72" s="6"/>
      <c r="K72" s="6"/>
      <c r="L72" s="7">
        <f>IF(COUNTA(A72:K72)=0,"",IF(AND(COUNTA(A72:E72)=5,COUNT(F72:K72)=6),"Complete","Incomplete"))</f>
      </c>
      <c r="M72" s="9">
        <f>IF(L72="Complete",AVERAGE(F72:K72),"")</f>
      </c>
      <c r="N72" s="10"/>
    </row>
    <row r="73" ht="24" customHeight="1">
      <c r="A73" s="5"/>
      <c r="B73" s="5"/>
      <c r="C73" s="10"/>
      <c r="D73" s="5"/>
      <c r="E73" s="5"/>
      <c r="F73" s="6"/>
      <c r="G73" s="6"/>
      <c r="H73" s="6"/>
      <c r="I73" s="6"/>
      <c r="J73" s="6"/>
      <c r="K73" s="6"/>
      <c r="L73" s="7">
        <f>IF(COUNTA(A73:K73)=0,"",IF(AND(COUNTA(A73:E73)=5,COUNT(F73:K73)=6),"Complete","Incomplete"))</f>
      </c>
      <c r="M73" s="9">
        <f>IF(L73="Complete",AVERAGE(F73:K73),"")</f>
      </c>
      <c r="N73" s="10"/>
    </row>
    <row r="74" ht="24" customHeight="1">
      <c r="A74" s="5"/>
      <c r="B74" s="5"/>
      <c r="C74" s="10"/>
      <c r="D74" s="5"/>
      <c r="E74" s="5"/>
      <c r="F74" s="6"/>
      <c r="G74" s="6"/>
      <c r="H74" s="6"/>
      <c r="I74" s="6"/>
      <c r="J74" s="6"/>
      <c r="K74" s="6"/>
      <c r="L74" s="7">
        <f>IF(COUNTA(A74:K74)=0,"",IF(AND(COUNTA(A74:E74)=5,COUNT(F74:K74)=6),"Complete","Incomplete"))</f>
      </c>
      <c r="M74" s="9">
        <f>IF(L74="Complete",AVERAGE(F74:K74),"")</f>
      </c>
      <c r="N74" s="10"/>
    </row>
    <row r="75" ht="24" customHeight="1">
      <c r="A75" s="5"/>
      <c r="B75" s="5"/>
      <c r="C75" s="10"/>
      <c r="D75" s="5"/>
      <c r="E75" s="5"/>
      <c r="F75" s="6"/>
      <c r="G75" s="6"/>
      <c r="H75" s="6"/>
      <c r="I75" s="6"/>
      <c r="J75" s="6"/>
      <c r="K75" s="6"/>
      <c r="L75" s="7">
        <f>IF(COUNTA(A75:K75)=0,"",IF(AND(COUNTA(A75:E75)=5,COUNT(F75:K75)=6),"Complete","Incomplete"))</f>
      </c>
      <c r="M75" s="9">
        <f>IF(L75="Complete",AVERAGE(F75:K75),"")</f>
      </c>
      <c r="N75" s="10"/>
    </row>
    <row r="76" ht="24" customHeight="1">
      <c r="A76" s="5"/>
      <c r="B76" s="5"/>
      <c r="C76" s="10"/>
      <c r="D76" s="5"/>
      <c r="E76" s="5"/>
      <c r="F76" s="6"/>
      <c r="G76" s="6"/>
      <c r="H76" s="6"/>
      <c r="I76" s="6"/>
      <c r="J76" s="6"/>
      <c r="K76" s="6"/>
      <c r="L76" s="7">
        <f>IF(COUNTA(A76:K76)=0,"",IF(AND(COUNTA(A76:E76)=5,COUNT(F76:K76)=6),"Complete","Incomplete"))</f>
      </c>
      <c r="M76" s="9">
        <f>IF(L76="Complete",AVERAGE(F76:K76),"")</f>
      </c>
      <c r="N76" s="10"/>
    </row>
    <row r="77" ht="24" customHeight="1">
      <c r="A77" s="5"/>
      <c r="B77" s="5"/>
      <c r="C77" s="10"/>
      <c r="D77" s="5"/>
      <c r="E77" s="5"/>
      <c r="F77" s="6"/>
      <c r="G77" s="6"/>
      <c r="H77" s="6"/>
      <c r="I77" s="6"/>
      <c r="J77" s="6"/>
      <c r="K77" s="6"/>
      <c r="L77" s="7">
        <f>IF(COUNTA(A77:K77)=0,"",IF(AND(COUNTA(A77:E77)=5,COUNT(F77:K77)=6),"Complete","Incomplete"))</f>
      </c>
      <c r="M77" s="9">
        <f>IF(L77="Complete",AVERAGE(F77:K77),"")</f>
      </c>
      <c r="N77" s="10"/>
    </row>
    <row r="78" ht="24" customHeight="1">
      <c r="A78" s="5"/>
      <c r="B78" s="5"/>
      <c r="C78" s="10"/>
      <c r="D78" s="5"/>
      <c r="E78" s="5"/>
      <c r="F78" s="6"/>
      <c r="G78" s="6"/>
      <c r="H78" s="6"/>
      <c r="I78" s="6"/>
      <c r="J78" s="6"/>
      <c r="K78" s="6"/>
      <c r="L78" s="7">
        <f>IF(COUNTA(A78:K78)=0,"",IF(AND(COUNTA(A78:E78)=5,COUNT(F78:K78)=6),"Complete","Incomplete"))</f>
      </c>
      <c r="M78" s="9">
        <f>IF(L78="Complete",AVERAGE(F78:K78),"")</f>
      </c>
      <c r="N78" s="10"/>
    </row>
    <row r="79" ht="24" customHeight="1">
      <c r="A79" s="5"/>
      <c r="B79" s="5"/>
      <c r="C79" s="10"/>
      <c r="D79" s="5"/>
      <c r="E79" s="5"/>
      <c r="F79" s="6"/>
      <c r="G79" s="6"/>
      <c r="H79" s="6"/>
      <c r="I79" s="6"/>
      <c r="J79" s="6"/>
      <c r="K79" s="6"/>
      <c r="L79" s="7">
        <f>IF(COUNTA(A79:K79)=0,"",IF(AND(COUNTA(A79:E79)=5,COUNT(F79:K79)=6),"Complete","Incomplete"))</f>
      </c>
      <c r="M79" s="9">
        <f>IF(L79="Complete",AVERAGE(F79:K79),"")</f>
      </c>
      <c r="N79" s="10"/>
    </row>
    <row r="80" ht="24" customHeight="1">
      <c r="A80" s="5"/>
      <c r="B80" s="5"/>
      <c r="C80" s="10"/>
      <c r="D80" s="5"/>
      <c r="E80" s="5"/>
      <c r="F80" s="6"/>
      <c r="G80" s="6"/>
      <c r="H80" s="6"/>
      <c r="I80" s="6"/>
      <c r="J80" s="6"/>
      <c r="K80" s="6"/>
      <c r="L80" s="7">
        <f>IF(COUNTA(A80:K80)=0,"",IF(AND(COUNTA(A80:E80)=5,COUNT(F80:K80)=6),"Complete","Incomplete"))</f>
      </c>
      <c r="M80" s="9">
        <f>IF(L80="Complete",AVERAGE(F80:K80),"")</f>
      </c>
      <c r="N80" s="10"/>
    </row>
    <row r="81" ht="24" customHeight="1">
      <c r="A81" s="5"/>
      <c r="B81" s="5"/>
      <c r="C81" s="10"/>
      <c r="D81" s="5"/>
      <c r="E81" s="5"/>
      <c r="F81" s="6"/>
      <c r="G81" s="6"/>
      <c r="H81" s="6"/>
      <c r="I81" s="6"/>
      <c r="J81" s="6"/>
      <c r="K81" s="6"/>
      <c r="L81" s="7">
        <f>IF(COUNTA(A81:K81)=0,"",IF(AND(COUNTA(A81:E81)=5,COUNT(F81:K81)=6),"Complete","Incomplete"))</f>
      </c>
      <c r="M81" s="9">
        <f>IF(L81="Complete",AVERAGE(F81:K81),"")</f>
      </c>
      <c r="N81" s="10"/>
    </row>
    <row r="82" ht="24" customHeight="1">
      <c r="A82" s="5"/>
      <c r="B82" s="5"/>
      <c r="C82" s="10"/>
      <c r="D82" s="5"/>
      <c r="E82" s="5"/>
      <c r="F82" s="6"/>
      <c r="G82" s="6"/>
      <c r="H82" s="6"/>
      <c r="I82" s="6"/>
      <c r="J82" s="6"/>
      <c r="K82" s="6"/>
      <c r="L82" s="7">
        <f>IF(COUNTA(A82:K82)=0,"",IF(AND(COUNTA(A82:E82)=5,COUNT(F82:K82)=6),"Complete","Incomplete"))</f>
      </c>
      <c r="M82" s="9">
        <f>IF(L82="Complete",AVERAGE(F82:K82),"")</f>
      </c>
      <c r="N82" s="10"/>
    </row>
    <row r="83" ht="24" customHeight="1">
      <c r="A83" s="5"/>
      <c r="B83" s="5"/>
      <c r="C83" s="10"/>
      <c r="D83" s="5"/>
      <c r="E83" s="5"/>
      <c r="F83" s="6"/>
      <c r="G83" s="6"/>
      <c r="H83" s="6"/>
      <c r="I83" s="6"/>
      <c r="J83" s="6"/>
      <c r="K83" s="6"/>
      <c r="L83" s="7">
        <f>IF(COUNTA(A83:K83)=0,"",IF(AND(COUNTA(A83:E83)=5,COUNT(F83:K83)=6),"Complete","Incomplete"))</f>
      </c>
      <c r="M83" s="9">
        <f>IF(L83="Complete",AVERAGE(F83:K83),"")</f>
      </c>
      <c r="N83" s="10"/>
    </row>
    <row r="84" ht="24" customHeight="1">
      <c r="A84" s="5"/>
      <c r="B84" s="5"/>
      <c r="C84" s="10"/>
      <c r="D84" s="5"/>
      <c r="E84" s="5"/>
      <c r="F84" s="6"/>
      <c r="G84" s="6"/>
      <c r="H84" s="6"/>
      <c r="I84" s="6"/>
      <c r="J84" s="6"/>
      <c r="K84" s="6"/>
      <c r="L84" s="7">
        <f>IF(COUNTA(A84:K84)=0,"",IF(AND(COUNTA(A84:E84)=5,COUNT(F84:K84)=6),"Complete","Incomplete"))</f>
      </c>
      <c r="M84" s="9">
        <f>IF(L84="Complete",AVERAGE(F84:K84),"")</f>
      </c>
      <c r="N84" s="10"/>
    </row>
    <row r="85" ht="24" customHeight="1">
      <c r="A85" s="5"/>
      <c r="B85" s="5"/>
      <c r="C85" s="10"/>
      <c r="D85" s="5"/>
      <c r="E85" s="5"/>
      <c r="F85" s="6"/>
      <c r="G85" s="6"/>
      <c r="H85" s="6"/>
      <c r="I85" s="6"/>
      <c r="J85" s="6"/>
      <c r="K85" s="6"/>
      <c r="L85" s="7">
        <f>IF(COUNTA(A85:K85)=0,"",IF(AND(COUNTA(A85:E85)=5,COUNT(F85:K85)=6),"Complete","Incomplete"))</f>
      </c>
      <c r="M85" s="9">
        <f>IF(L85="Complete",AVERAGE(F85:K85),"")</f>
      </c>
      <c r="N85" s="10"/>
    </row>
    <row r="86" ht="24" customHeight="1">
      <c r="A86" s="5"/>
      <c r="B86" s="5"/>
      <c r="C86" s="10"/>
      <c r="D86" s="5"/>
      <c r="E86" s="5"/>
      <c r="F86" s="6"/>
      <c r="G86" s="6"/>
      <c r="H86" s="6"/>
      <c r="I86" s="6"/>
      <c r="J86" s="6"/>
      <c r="K86" s="6"/>
      <c r="L86" s="7">
        <f>IF(COUNTA(A86:K86)=0,"",IF(AND(COUNTA(A86:E86)=5,COUNT(F86:K86)=6),"Complete","Incomplete"))</f>
      </c>
      <c r="M86" s="9">
        <f>IF(L86="Complete",AVERAGE(F86:K86),"")</f>
      </c>
      <c r="N86" s="10"/>
    </row>
    <row r="87" ht="24" customHeight="1">
      <c r="A87" s="5"/>
      <c r="B87" s="5"/>
      <c r="C87" s="10"/>
      <c r="D87" s="5"/>
      <c r="E87" s="5"/>
      <c r="F87" s="6"/>
      <c r="G87" s="6"/>
      <c r="H87" s="6"/>
      <c r="I87" s="6"/>
      <c r="J87" s="6"/>
      <c r="K87" s="6"/>
      <c r="L87" s="7">
        <f>IF(COUNTA(A87:K87)=0,"",IF(AND(COUNTA(A87:E87)=5,COUNT(F87:K87)=6),"Complete","Incomplete"))</f>
      </c>
      <c r="M87" s="9">
        <f>IF(L87="Complete",AVERAGE(F87:K87),"")</f>
      </c>
      <c r="N87" s="10"/>
    </row>
    <row r="88" ht="24" customHeight="1">
      <c r="A88" s="5"/>
      <c r="B88" s="5"/>
      <c r="C88" s="10"/>
      <c r="D88" s="5"/>
      <c r="E88" s="5"/>
      <c r="F88" s="6"/>
      <c r="G88" s="6"/>
      <c r="H88" s="6"/>
      <c r="I88" s="6"/>
      <c r="J88" s="6"/>
      <c r="K88" s="6"/>
      <c r="L88" s="7">
        <f>IF(COUNTA(A88:K88)=0,"",IF(AND(COUNTA(A88:E88)=5,COUNT(F88:K88)=6),"Complete","Incomplete"))</f>
      </c>
      <c r="M88" s="9">
        <f>IF(L88="Complete",AVERAGE(F88:K88),"")</f>
      </c>
      <c r="N88" s="10"/>
    </row>
    <row r="89" ht="24" customHeight="1">
      <c r="A89" s="5"/>
      <c r="B89" s="5"/>
      <c r="C89" s="10"/>
      <c r="D89" s="5"/>
      <c r="E89" s="5"/>
      <c r="F89" s="6"/>
      <c r="G89" s="6"/>
      <c r="H89" s="6"/>
      <c r="I89" s="6"/>
      <c r="J89" s="6"/>
      <c r="K89" s="6"/>
      <c r="L89" s="7">
        <f>IF(COUNTA(A89:K89)=0,"",IF(AND(COUNTA(A89:E89)=5,COUNT(F89:K89)=6),"Complete","Incomplete"))</f>
      </c>
      <c r="M89" s="9">
        <f>IF(L89="Complete",AVERAGE(F89:K89),"")</f>
      </c>
      <c r="N89" s="10"/>
    </row>
    <row r="90" ht="24" customHeight="1">
      <c r="A90" s="5"/>
      <c r="B90" s="5"/>
      <c r="C90" s="10"/>
      <c r="D90" s="5"/>
      <c r="E90" s="5"/>
      <c r="F90" s="6"/>
      <c r="G90" s="6"/>
      <c r="H90" s="6"/>
      <c r="I90" s="6"/>
      <c r="J90" s="6"/>
      <c r="K90" s="6"/>
      <c r="L90" s="7">
        <f>IF(COUNTA(A90:K90)=0,"",IF(AND(COUNTA(A90:E90)=5,COUNT(F90:K90)=6),"Complete","Incomplete"))</f>
      </c>
      <c r="M90" s="9">
        <f>IF(L90="Complete",AVERAGE(F90:K90),"")</f>
      </c>
      <c r="N90" s="10"/>
    </row>
    <row r="91" ht="24" customHeight="1">
      <c r="A91" s="5"/>
      <c r="B91" s="5"/>
      <c r="C91" s="10"/>
      <c r="D91" s="5"/>
      <c r="E91" s="5"/>
      <c r="F91" s="6"/>
      <c r="G91" s="6"/>
      <c r="H91" s="6"/>
      <c r="I91" s="6"/>
      <c r="J91" s="6"/>
      <c r="K91" s="6"/>
      <c r="L91" s="7">
        <f>IF(COUNTA(A91:K91)=0,"",IF(AND(COUNTA(A91:E91)=5,COUNT(F91:K91)=6),"Complete","Incomplete"))</f>
      </c>
      <c r="M91" s="9">
        <f>IF(L91="Complete",AVERAGE(F91:K91),"")</f>
      </c>
      <c r="N91" s="10"/>
    </row>
    <row r="92" ht="24" customHeight="1">
      <c r="A92" s="5"/>
      <c r="B92" s="5"/>
      <c r="C92" s="10"/>
      <c r="D92" s="5"/>
      <c r="E92" s="5"/>
      <c r="F92" s="6"/>
      <c r="G92" s="6"/>
      <c r="H92" s="6"/>
      <c r="I92" s="6"/>
      <c r="J92" s="6"/>
      <c r="K92" s="6"/>
      <c r="L92" s="7">
        <f>IF(COUNTA(A92:K92)=0,"",IF(AND(COUNTA(A92:E92)=5,COUNT(F92:K92)=6),"Complete","Incomplete"))</f>
      </c>
      <c r="M92" s="9">
        <f>IF(L92="Complete",AVERAGE(F92:K92),"")</f>
      </c>
      <c r="N92" s="10"/>
    </row>
    <row r="93" ht="24" customHeight="1">
      <c r="A93" s="5"/>
      <c r="B93" s="5"/>
      <c r="C93" s="10"/>
      <c r="D93" s="5"/>
      <c r="E93" s="5"/>
      <c r="F93" s="6"/>
      <c r="G93" s="6"/>
      <c r="H93" s="6"/>
      <c r="I93" s="6"/>
      <c r="J93" s="6"/>
      <c r="K93" s="6"/>
      <c r="L93" s="7">
        <f>IF(COUNTA(A93:K93)=0,"",IF(AND(COUNTA(A93:E93)=5,COUNT(F93:K93)=6),"Complete","Incomplete"))</f>
      </c>
      <c r="M93" s="9">
        <f>IF(L93="Complete",AVERAGE(F93:K93),"")</f>
      </c>
      <c r="N93" s="10"/>
    </row>
    <row r="94" ht="24" customHeight="1">
      <c r="A94" s="5"/>
      <c r="B94" s="5"/>
      <c r="C94" s="10"/>
      <c r="D94" s="5"/>
      <c r="E94" s="5"/>
      <c r="F94" s="6"/>
      <c r="G94" s="6"/>
      <c r="H94" s="6"/>
      <c r="I94" s="6"/>
      <c r="J94" s="6"/>
      <c r="K94" s="6"/>
      <c r="L94" s="7">
        <f>IF(COUNTA(A94:K94)=0,"",IF(AND(COUNTA(A94:E94)=5,COUNT(F94:K94)=6),"Complete","Incomplete"))</f>
      </c>
      <c r="M94" s="9">
        <f>IF(L94="Complete",AVERAGE(F94:K94),"")</f>
      </c>
      <c r="N94" s="10"/>
    </row>
    <row r="95" ht="24" customHeight="1">
      <c r="A95" s="5"/>
      <c r="B95" s="5"/>
      <c r="C95" s="10"/>
      <c r="D95" s="5"/>
      <c r="E95" s="5"/>
      <c r="F95" s="6"/>
      <c r="G95" s="6"/>
      <c r="H95" s="6"/>
      <c r="I95" s="6"/>
      <c r="J95" s="6"/>
      <c r="K95" s="6"/>
      <c r="L95" s="7">
        <f>IF(COUNTA(A95:K95)=0,"",IF(AND(COUNTA(A95:E95)=5,COUNT(F95:K95)=6),"Complete","Incomplete"))</f>
      </c>
      <c r="M95" s="9">
        <f>IF(L95="Complete",AVERAGE(F95:K95),"")</f>
      </c>
      <c r="N95" s="10"/>
    </row>
    <row r="96" ht="24" customHeight="1">
      <c r="A96" s="5"/>
      <c r="B96" s="5"/>
      <c r="C96" s="10"/>
      <c r="D96" s="5"/>
      <c r="E96" s="5"/>
      <c r="F96" s="6"/>
      <c r="G96" s="6"/>
      <c r="H96" s="6"/>
      <c r="I96" s="6"/>
      <c r="J96" s="6"/>
      <c r="K96" s="6"/>
      <c r="L96" s="7">
        <f>IF(COUNTA(A96:K96)=0,"",IF(AND(COUNTA(A96:E96)=5,COUNT(F96:K96)=6),"Complete","Incomplete"))</f>
      </c>
      <c r="M96" s="9">
        <f>IF(L96="Complete",AVERAGE(F96:K96),"")</f>
      </c>
      <c r="N96" s="10"/>
    </row>
    <row r="97" ht="24" customHeight="1">
      <c r="A97" s="5"/>
      <c r="B97" s="5"/>
      <c r="C97" s="10"/>
      <c r="D97" s="5"/>
      <c r="E97" s="5"/>
      <c r="F97" s="6"/>
      <c r="G97" s="6"/>
      <c r="H97" s="6"/>
      <c r="I97" s="6"/>
      <c r="J97" s="6"/>
      <c r="K97" s="6"/>
      <c r="L97" s="7">
        <f>IF(COUNTA(A97:K97)=0,"",IF(AND(COUNTA(A97:E97)=5,COUNT(F97:K97)=6),"Complete","Incomplete"))</f>
      </c>
      <c r="M97" s="9">
        <f>IF(L97="Complete",AVERAGE(F97:K97),"")</f>
      </c>
      <c r="N97" s="10"/>
    </row>
    <row r="98" ht="24" customHeight="1">
      <c r="A98" s="5"/>
      <c r="B98" s="5"/>
      <c r="C98" s="10"/>
      <c r="D98" s="5"/>
      <c r="E98" s="5"/>
      <c r="F98" s="6"/>
      <c r="G98" s="6"/>
      <c r="H98" s="6"/>
      <c r="I98" s="6"/>
      <c r="J98" s="6"/>
      <c r="K98" s="6"/>
      <c r="L98" s="7">
        <f>IF(COUNTA(A98:K98)=0,"",IF(AND(COUNTA(A98:E98)=5,COUNT(F98:K98)=6),"Complete","Incomplete"))</f>
      </c>
      <c r="M98" s="9">
        <f>IF(L98="Complete",AVERAGE(F98:K98),"")</f>
      </c>
      <c r="N98" s="10"/>
    </row>
    <row r="99" ht="24" customHeight="1">
      <c r="A99" s="5"/>
      <c r="B99" s="5"/>
      <c r="C99" s="10"/>
      <c r="D99" s="5"/>
      <c r="E99" s="5"/>
      <c r="F99" s="6"/>
      <c r="G99" s="6"/>
      <c r="H99" s="6"/>
      <c r="I99" s="6"/>
      <c r="J99" s="6"/>
      <c r="K99" s="6"/>
      <c r="L99" s="7">
        <f>IF(COUNTA(A99:K99)=0,"",IF(AND(COUNTA(A99:E99)=5,COUNT(F99:K99)=6),"Complete","Incomplete"))</f>
      </c>
      <c r="M99" s="9">
        <f>IF(L99="Complete",AVERAGE(F99:K99),"")</f>
      </c>
      <c r="N99" s="10"/>
    </row>
    <row r="100" ht="24" customHeight="1">
      <c r="A100" s="5"/>
      <c r="B100" s="5"/>
      <c r="C100" s="10"/>
      <c r="D100" s="5"/>
      <c r="E100" s="5"/>
      <c r="F100" s="6"/>
      <c r="G100" s="6"/>
      <c r="H100" s="6"/>
      <c r="I100" s="6"/>
      <c r="J100" s="6"/>
      <c r="K100" s="6"/>
      <c r="L100" s="7">
        <f>IF(COUNTA(A100:K100)=0,"",IF(AND(COUNTA(A100:E100)=5,COUNT(F100:K100)=6),"Complete","Incomplete"))</f>
      </c>
      <c r="M100" s="9">
        <f>IF(L100="Complete",AVERAGE(F100:K100),"")</f>
      </c>
      <c r="N100" s="10"/>
    </row>
    <row r="101" ht="24" customHeight="1">
      <c r="A101" s="5"/>
      <c r="B101" s="5"/>
      <c r="C101" s="10"/>
      <c r="D101" s="5"/>
      <c r="E101" s="5"/>
      <c r="F101" s="6"/>
      <c r="G101" s="6"/>
      <c r="H101" s="6"/>
      <c r="I101" s="6"/>
      <c r="J101" s="6"/>
      <c r="K101" s="6"/>
      <c r="L101" s="7">
        <f>IF(COUNTA(A101:K101)=0,"",IF(AND(COUNTA(A101:E101)=5,COUNT(F101:K101)=6),"Complete","Incomplete"))</f>
      </c>
      <c r="M101" s="9">
        <f>IF(L101="Complete",AVERAGE(F101:K101),"")</f>
      </c>
      <c r="N101" s="10"/>
    </row>
  </x:sheetData>
  <conditionalFormatting sqref="L2:L101">
    <cfRule type="containsText" dxfId="0" priority="1" operator="containsText" text="Incomplete">
      <formula>NOT(ISERROR(SEARCH("Incomplete",L2)))</formula>
    </cfRule>
  </conditionalFormatting>
  <dataValidations count="2">
    <dataValidation type="list" allowBlank="1" showErrorMessage="1" sqref="D2:D101">
      <formula1>"narration_neutral,warm_friendly,excited_energetic,serious_authoritative,curious_questioning,empathetic_calm,emphatic_punchy,awe_wonder,sorrow_grief,anger_fierce,tender_intimate,suspense_hushed,playful_wry,triumphant_declaratory"</formula1>
    </dataValidation>
    <dataValidation type="whole" operator="between" allowBlank="1" showErrorMessage="1" errorStyle="stop" errorTitle="Invalid rating" error="Rating must be a whole number from 1 to 5." sqref="F2:K101">
      <formula1>1</formula1>
      <formula2>5</formula2>
    </dataValidation>
  </dataValidations>
  <pageMargins left="0.5" right="0.5" top="0.6" bottom="0.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x="http://schemas.openxmlformats.org/spreadsheetml/2006/main" xmlns:r="http://schemas.openxmlformats.org/officeDocument/2006/relationships">
  <sheetPr>
    <tabColor rgb="FFC78C34"/>
  </sheetPr>
  <dimension ref="A1:H15"/>
  <sheetViews>
    <sheetView showGridLines="0" workbookViewId="0">
      <pane ySplit="1" topLeftCell="A2" activePane="bottomLeft" state="frozen"/>
    </sheetView>
  </sheetViews>
  <sheetFormatPr defaultRowHeight="18"/>
  <cols>
    <col min="1" max="1" width="27" customWidth="1"/>
    <col min="2" max="3" width="20" customWidth="1"/>
    <col min="4" max="5" width="13" customWidth="1"/>
    <col min="6" max="6" width="20" customWidth="1"/>
    <col min="7" max="7" width="22" customWidth="1"/>
    <col min="8" max="8" width="44" customWidth="1"/>
  </cols>
  <x:sheetData>
    <row r="1" ht="36" customHeight="1">
      <c r="A1" s="4" t="inlineStr">
        <is>
          <t>Style</t>
        </is>
      </c>
      <c r="B1" s="4" t="inlineStr">
        <is>
          <t>Candidates started</t>
        </is>
      </c>
      <c r="C1" s="4" t="inlineStr">
        <is>
          <t>Complete candidates</t>
        </is>
      </c>
      <c r="D1" s="4" t="inlineStr">
        <is>
          <t>Best mean</t>
        </is>
      </c>
      <c r="E1" s="4" t="inlineStr">
        <is>
          <t>Tied at best</t>
        </is>
      </c>
      <c r="F1" s="4" t="inlineStr">
        <is>
          <t>Status</t>
        </is>
      </c>
      <c r="G1" s="4" t="inlineStr">
        <is>
          <t>Selected blind label</t>
        </is>
      </c>
      <c r="H1" s="4" t="inlineStr">
        <is>
          <t>Decision note</t>
        </is>
      </c>
    </row>
    <row r="2" ht="26" customHeight="1">
      <c r="A2" s="7" t="inlineStr">
        <is>
          <t>narration_neutral</t>
        </is>
      </c>
      <c r="B2" s="8">
        <f>COUNTIFS(Ratings!$D$2:$D$101,A2,Ratings!$A$2:$A$101,"&lt;&gt;")</f>
      </c>
      <c r="C2" s="8">
        <f>COUNTIFS(Ratings!$D$2:$D$101,A2,Ratings!$L$2:$L$101,"Complete")</f>
      </c>
      <c r="D2" s="9">
        <f>IF(OR(B2=0,C2&lt;B2),"",_xlfn.MAXIFS(Ratings!$M$2:$M$101,Ratings!$D$2:$D$101,A2,Ratings!$L$2:$L$101,"Complete"))</f>
      </c>
      <c r="E2" s="8">
        <f>IF(D2="","",COUNTIFS(Ratings!$D$2:$D$101,A2,Ratings!$L$2:$L$101,"Complete",Ratings!$M$2:$M$101,D2))</f>
      </c>
      <c r="F2" s="7">
        <f>IF(B2=0,"Await candidates",IF(C2&lt;B2,"Finish ratings",IF(G2="",IF(E2&gt;1,"Review tie","Choose candidate"),IF(COUNTIFS(Ratings!$A$2:$A$101,G2,Ratings!$D$2:$D$101,A2,Ratings!$L$2:$L$101,"Complete")=0,"Choose listed candidate",IF(LEN(TRIM(H2))=0,"Add decision note","Decision recorded")))))</f>
      </c>
      <c r="G2" s="5"/>
      <c r="H2" s="10"/>
    </row>
    <row r="3" ht="26" customHeight="1">
      <c r="A3" s="7" t="inlineStr">
        <is>
          <t>warm_friendly</t>
        </is>
      </c>
      <c r="B3" s="8">
        <f>COUNTIFS(Ratings!$D$2:$D$101,A3,Ratings!$A$2:$A$101,"&lt;&gt;")</f>
      </c>
      <c r="C3" s="8">
        <f>COUNTIFS(Ratings!$D$2:$D$101,A3,Ratings!$L$2:$L$101,"Complete")</f>
      </c>
      <c r="D3" s="9">
        <f>IF(OR(B3=0,C3&lt;B3),"",_xlfn.MAXIFS(Ratings!$M$2:$M$101,Ratings!$D$2:$D$101,A3,Ratings!$L$2:$L$101,"Complete"))</f>
      </c>
      <c r="E3" s="8">
        <f>IF(D3="","",COUNTIFS(Ratings!$D$2:$D$101,A3,Ratings!$L$2:$L$101,"Complete",Ratings!$M$2:$M$101,D3))</f>
      </c>
      <c r="F3" s="7">
        <f>IF(B3=0,"Await candidates",IF(C3&lt;B3,"Finish ratings",IF(G3="",IF(E3&gt;1,"Review tie","Choose candidate"),IF(COUNTIFS(Ratings!$A$2:$A$101,G3,Ratings!$D$2:$D$101,A3,Ratings!$L$2:$L$101,"Complete")=0,"Choose listed candidate",IF(LEN(TRIM(H3))=0,"Add decision note","Decision recorded")))))</f>
      </c>
      <c r="G3" s="5"/>
      <c r="H3" s="10"/>
    </row>
    <row r="4" ht="26" customHeight="1">
      <c r="A4" s="7" t="inlineStr">
        <is>
          <t>excited_energetic</t>
        </is>
      </c>
      <c r="B4" s="8">
        <f>COUNTIFS(Ratings!$D$2:$D$101,A4,Ratings!$A$2:$A$101,"&lt;&gt;")</f>
      </c>
      <c r="C4" s="8">
        <f>COUNTIFS(Ratings!$D$2:$D$101,A4,Ratings!$L$2:$L$101,"Complete")</f>
      </c>
      <c r="D4" s="9">
        <f>IF(OR(B4=0,C4&lt;B4),"",_xlfn.MAXIFS(Ratings!$M$2:$M$101,Ratings!$D$2:$D$101,A4,Ratings!$L$2:$L$101,"Complete"))</f>
      </c>
      <c r="E4" s="8">
        <f>IF(D4="","",COUNTIFS(Ratings!$D$2:$D$101,A4,Ratings!$L$2:$L$101,"Complete",Ratings!$M$2:$M$101,D4))</f>
      </c>
      <c r="F4" s="7">
        <f>IF(B4=0,"Await candidates",IF(C4&lt;B4,"Finish ratings",IF(G4="",IF(E4&gt;1,"Review tie","Choose candidate"),IF(COUNTIFS(Ratings!$A$2:$A$101,G4,Ratings!$D$2:$D$101,A4,Ratings!$L$2:$L$101,"Complete")=0,"Choose listed candidate",IF(LEN(TRIM(H4))=0,"Add decision note","Decision recorded")))))</f>
      </c>
      <c r="G4" s="5"/>
      <c r="H4" s="10"/>
    </row>
    <row r="5" ht="26" customHeight="1">
      <c r="A5" s="7" t="inlineStr">
        <is>
          <t>serious_authoritative</t>
        </is>
      </c>
      <c r="B5" s="8">
        <f>COUNTIFS(Ratings!$D$2:$D$101,A5,Ratings!$A$2:$A$101,"&lt;&gt;")</f>
      </c>
      <c r="C5" s="8">
        <f>COUNTIFS(Ratings!$D$2:$D$101,A5,Ratings!$L$2:$L$101,"Complete")</f>
      </c>
      <c r="D5" s="9">
        <f>IF(OR(B5=0,C5&lt;B5),"",_xlfn.MAXIFS(Ratings!$M$2:$M$101,Ratings!$D$2:$D$101,A5,Ratings!$L$2:$L$101,"Complete"))</f>
      </c>
      <c r="E5" s="8">
        <f>IF(D5="","",COUNTIFS(Ratings!$D$2:$D$101,A5,Ratings!$L$2:$L$101,"Complete",Ratings!$M$2:$M$101,D5))</f>
      </c>
      <c r="F5" s="7">
        <f>IF(B5=0,"Await candidates",IF(C5&lt;B5,"Finish ratings",IF(G5="",IF(E5&gt;1,"Review tie","Choose candidate"),IF(COUNTIFS(Ratings!$A$2:$A$101,G5,Ratings!$D$2:$D$101,A5,Ratings!$L$2:$L$101,"Complete")=0,"Choose listed candidate",IF(LEN(TRIM(H5))=0,"Add decision note","Decision recorded")))))</f>
      </c>
      <c r="G5" s="5"/>
      <c r="H5" s="10"/>
    </row>
    <row r="6" ht="26" customHeight="1">
      <c r="A6" s="7" t="inlineStr">
        <is>
          <t>curious_questioning</t>
        </is>
      </c>
      <c r="B6" s="8">
        <f>COUNTIFS(Ratings!$D$2:$D$101,A6,Ratings!$A$2:$A$101,"&lt;&gt;")</f>
      </c>
      <c r="C6" s="8">
        <f>COUNTIFS(Ratings!$D$2:$D$101,A6,Ratings!$L$2:$L$101,"Complete")</f>
      </c>
      <c r="D6" s="9">
        <f>IF(OR(B6=0,C6&lt;B6),"",_xlfn.MAXIFS(Ratings!$M$2:$M$101,Ratings!$D$2:$D$101,A6,Ratings!$L$2:$L$101,"Complete"))</f>
      </c>
      <c r="E6" s="8">
        <f>IF(D6="","",COUNTIFS(Ratings!$D$2:$D$101,A6,Ratings!$L$2:$L$101,"Complete",Ratings!$M$2:$M$101,D6))</f>
      </c>
      <c r="F6" s="7">
        <f>IF(B6=0,"Await candidates",IF(C6&lt;B6,"Finish ratings",IF(G6="",IF(E6&gt;1,"Review tie","Choose candidate"),IF(COUNTIFS(Ratings!$A$2:$A$101,G6,Ratings!$D$2:$D$101,A6,Ratings!$L$2:$L$101,"Complete")=0,"Choose listed candidate",IF(LEN(TRIM(H6))=0,"Add decision note","Decision recorded")))))</f>
      </c>
      <c r="G6" s="5"/>
      <c r="H6" s="10"/>
    </row>
    <row r="7" ht="26" customHeight="1">
      <c r="A7" s="7" t="inlineStr">
        <is>
          <t>empathetic_calm</t>
        </is>
      </c>
      <c r="B7" s="8">
        <f>COUNTIFS(Ratings!$D$2:$D$101,A7,Ratings!$A$2:$A$101,"&lt;&gt;")</f>
      </c>
      <c r="C7" s="8">
        <f>COUNTIFS(Ratings!$D$2:$D$101,A7,Ratings!$L$2:$L$101,"Complete")</f>
      </c>
      <c r="D7" s="9">
        <f>IF(OR(B7=0,C7&lt;B7),"",_xlfn.MAXIFS(Ratings!$M$2:$M$101,Ratings!$D$2:$D$101,A7,Ratings!$L$2:$L$101,"Complete"))</f>
      </c>
      <c r="E7" s="8">
        <f>IF(D7="","",COUNTIFS(Ratings!$D$2:$D$101,A7,Ratings!$L$2:$L$101,"Complete",Ratings!$M$2:$M$101,D7))</f>
      </c>
      <c r="F7" s="7">
        <f>IF(B7=0,"Await candidates",IF(C7&lt;B7,"Finish ratings",IF(G7="",IF(E7&gt;1,"Review tie","Choose candidate"),IF(COUNTIFS(Ratings!$A$2:$A$101,G7,Ratings!$D$2:$D$101,A7,Ratings!$L$2:$L$101,"Complete")=0,"Choose listed candidate",IF(LEN(TRIM(H7))=0,"Add decision note","Decision recorded")))))</f>
      </c>
      <c r="G7" s="5"/>
      <c r="H7" s="10"/>
    </row>
    <row r="8" ht="26" customHeight="1">
      <c r="A8" s="7" t="inlineStr">
        <is>
          <t>emphatic_punchy</t>
        </is>
      </c>
      <c r="B8" s="8">
        <f>COUNTIFS(Ratings!$D$2:$D$101,A8,Ratings!$A$2:$A$101,"&lt;&gt;")</f>
      </c>
      <c r="C8" s="8">
        <f>COUNTIFS(Ratings!$D$2:$D$101,A8,Ratings!$L$2:$L$101,"Complete")</f>
      </c>
      <c r="D8" s="9">
        <f>IF(OR(B8=0,C8&lt;B8),"",_xlfn.MAXIFS(Ratings!$M$2:$M$101,Ratings!$D$2:$D$101,A8,Ratings!$L$2:$L$101,"Complete"))</f>
      </c>
      <c r="E8" s="8">
        <f>IF(D8="","",COUNTIFS(Ratings!$D$2:$D$101,A8,Ratings!$L$2:$L$101,"Complete",Ratings!$M$2:$M$101,D8))</f>
      </c>
      <c r="F8" s="7">
        <f>IF(B8=0,"Await candidates",IF(C8&lt;B8,"Finish ratings",IF(G8="",IF(E8&gt;1,"Review tie","Choose candidate"),IF(COUNTIFS(Ratings!$A$2:$A$101,G8,Ratings!$D$2:$D$101,A8,Ratings!$L$2:$L$101,"Complete")=0,"Choose listed candidate",IF(LEN(TRIM(H8))=0,"Add decision note","Decision recorded")))))</f>
      </c>
      <c r="G8" s="5"/>
      <c r="H8" s="10"/>
    </row>
    <row r="9" ht="26" customHeight="1">
      <c r="A9" s="7" t="inlineStr">
        <is>
          <t>awe_wonder</t>
        </is>
      </c>
      <c r="B9" s="8">
        <f>COUNTIFS(Ratings!$D$2:$D$101,A9,Ratings!$A$2:$A$101,"&lt;&gt;")</f>
      </c>
      <c r="C9" s="8">
        <f>COUNTIFS(Ratings!$D$2:$D$101,A9,Ratings!$L$2:$L$101,"Complete")</f>
      </c>
      <c r="D9" s="9">
        <f>IF(OR(B9=0,C9&lt;B9),"",_xlfn.MAXIFS(Ratings!$M$2:$M$101,Ratings!$D$2:$D$101,A9,Ratings!$L$2:$L$101,"Complete"))</f>
      </c>
      <c r="E9" s="8">
        <f>IF(D9="","",COUNTIFS(Ratings!$D$2:$D$101,A9,Ratings!$L$2:$L$101,"Complete",Ratings!$M$2:$M$101,D9))</f>
      </c>
      <c r="F9" s="7">
        <f>IF(B9=0,"Await candidates",IF(C9&lt;B9,"Finish ratings",IF(G9="",IF(E9&gt;1,"Review tie","Choose candidate"),IF(COUNTIFS(Ratings!$A$2:$A$101,G9,Ratings!$D$2:$D$101,A9,Ratings!$L$2:$L$101,"Complete")=0,"Choose listed candidate",IF(LEN(TRIM(H9))=0,"Add decision note","Decision recorded")))))</f>
      </c>
      <c r="G9" s="5"/>
      <c r="H9" s="10"/>
    </row>
    <row r="10" ht="26" customHeight="1">
      <c r="A10" s="7" t="inlineStr">
        <is>
          <t>sorrow_grief</t>
        </is>
      </c>
      <c r="B10" s="8">
        <f>COUNTIFS(Ratings!$D$2:$D$101,A10,Ratings!$A$2:$A$101,"&lt;&gt;")</f>
      </c>
      <c r="C10" s="8">
        <f>COUNTIFS(Ratings!$D$2:$D$101,A10,Ratings!$L$2:$L$101,"Complete")</f>
      </c>
      <c r="D10" s="9">
        <f>IF(OR(B10=0,C10&lt;B10),"",_xlfn.MAXIFS(Ratings!$M$2:$M$101,Ratings!$D$2:$D$101,A10,Ratings!$L$2:$L$101,"Complete"))</f>
      </c>
      <c r="E10" s="8">
        <f>IF(D10="","",COUNTIFS(Ratings!$D$2:$D$101,A10,Ratings!$L$2:$L$101,"Complete",Ratings!$M$2:$M$101,D10))</f>
      </c>
      <c r="F10" s="7">
        <f>IF(B10=0,"Await candidates",IF(C10&lt;B10,"Finish ratings",IF(G10="",IF(E10&gt;1,"Review tie","Choose candidate"),IF(COUNTIFS(Ratings!$A$2:$A$101,G10,Ratings!$D$2:$D$101,A10,Ratings!$L$2:$L$101,"Complete")=0,"Choose listed candidate",IF(LEN(TRIM(H10))=0,"Add decision note","Decision recorded")))))</f>
      </c>
      <c r="G10" s="5"/>
      <c r="H10" s="10"/>
    </row>
    <row r="11" ht="26" customHeight="1">
      <c r="A11" s="7" t="inlineStr">
        <is>
          <t>anger_fierce</t>
        </is>
      </c>
      <c r="B11" s="8">
        <f>COUNTIFS(Ratings!$D$2:$D$101,A11,Ratings!$A$2:$A$101,"&lt;&gt;")</f>
      </c>
      <c r="C11" s="8">
        <f>COUNTIFS(Ratings!$D$2:$D$101,A11,Ratings!$L$2:$L$101,"Complete")</f>
      </c>
      <c r="D11" s="9">
        <f>IF(OR(B11=0,C11&lt;B11),"",_xlfn.MAXIFS(Ratings!$M$2:$M$101,Ratings!$D$2:$D$101,A11,Ratings!$L$2:$L$101,"Complete"))</f>
      </c>
      <c r="E11" s="8">
        <f>IF(D11="","",COUNTIFS(Ratings!$D$2:$D$101,A11,Ratings!$L$2:$L$101,"Complete",Ratings!$M$2:$M$101,D11))</f>
      </c>
      <c r="F11" s="7">
        <f>IF(B11=0,"Await candidates",IF(C11&lt;B11,"Finish ratings",IF(G11="",IF(E11&gt;1,"Review tie","Choose candidate"),IF(COUNTIFS(Ratings!$A$2:$A$101,G11,Ratings!$D$2:$D$101,A11,Ratings!$L$2:$L$101,"Complete")=0,"Choose listed candidate",IF(LEN(TRIM(H11))=0,"Add decision note","Decision recorded")))))</f>
      </c>
      <c r="G11" s="5"/>
      <c r="H11" s="10"/>
    </row>
    <row r="12" ht="26" customHeight="1">
      <c r="A12" s="7" t="inlineStr">
        <is>
          <t>tender_intimate</t>
        </is>
      </c>
      <c r="B12" s="8">
        <f>COUNTIFS(Ratings!$D$2:$D$101,A12,Ratings!$A$2:$A$101,"&lt;&gt;")</f>
      </c>
      <c r="C12" s="8">
        <f>COUNTIFS(Ratings!$D$2:$D$101,A12,Ratings!$L$2:$L$101,"Complete")</f>
      </c>
      <c r="D12" s="9">
        <f>IF(OR(B12=0,C12&lt;B12),"",_xlfn.MAXIFS(Ratings!$M$2:$M$101,Ratings!$D$2:$D$101,A12,Ratings!$L$2:$L$101,"Complete"))</f>
      </c>
      <c r="E12" s="8">
        <f>IF(D12="","",COUNTIFS(Ratings!$D$2:$D$101,A12,Ratings!$L$2:$L$101,"Complete",Ratings!$M$2:$M$101,D12))</f>
      </c>
      <c r="F12" s="7">
        <f>IF(B12=0,"Await candidates",IF(C12&lt;B12,"Finish ratings",IF(G12="",IF(E12&gt;1,"Review tie","Choose candidate"),IF(COUNTIFS(Ratings!$A$2:$A$101,G12,Ratings!$D$2:$D$101,A12,Ratings!$L$2:$L$101,"Complete")=0,"Choose listed candidate",IF(LEN(TRIM(H12))=0,"Add decision note","Decision recorded")))))</f>
      </c>
      <c r="G12" s="5"/>
      <c r="H12" s="10"/>
    </row>
    <row r="13" ht="26" customHeight="1">
      <c r="A13" s="7" t="inlineStr">
        <is>
          <t>suspense_hushed</t>
        </is>
      </c>
      <c r="B13" s="8">
        <f>COUNTIFS(Ratings!$D$2:$D$101,A13,Ratings!$A$2:$A$101,"&lt;&gt;")</f>
      </c>
      <c r="C13" s="8">
        <f>COUNTIFS(Ratings!$D$2:$D$101,A13,Ratings!$L$2:$L$101,"Complete")</f>
      </c>
      <c r="D13" s="9">
        <f>IF(OR(B13=0,C13&lt;B13),"",_xlfn.MAXIFS(Ratings!$M$2:$M$101,Ratings!$D$2:$D$101,A13,Ratings!$L$2:$L$101,"Complete"))</f>
      </c>
      <c r="E13" s="8">
        <f>IF(D13="","",COUNTIFS(Ratings!$D$2:$D$101,A13,Ratings!$L$2:$L$101,"Complete",Ratings!$M$2:$M$101,D13))</f>
      </c>
      <c r="F13" s="7">
        <f>IF(B13=0,"Await candidates",IF(C13&lt;B13,"Finish ratings",IF(G13="",IF(E13&gt;1,"Review tie","Choose candidate"),IF(COUNTIFS(Ratings!$A$2:$A$101,G13,Ratings!$D$2:$D$101,A13,Ratings!$L$2:$L$101,"Complete")=0,"Choose listed candidate",IF(LEN(TRIM(H13))=0,"Add decision note","Decision recorded")))))</f>
      </c>
      <c r="G13" s="5"/>
      <c r="H13" s="10"/>
    </row>
    <row r="14" ht="26" customHeight="1">
      <c r="A14" s="7" t="inlineStr">
        <is>
          <t>playful_wry</t>
        </is>
      </c>
      <c r="B14" s="8">
        <f>COUNTIFS(Ratings!$D$2:$D$101,A14,Ratings!$A$2:$A$101,"&lt;&gt;")</f>
      </c>
      <c r="C14" s="8">
        <f>COUNTIFS(Ratings!$D$2:$D$101,A14,Ratings!$L$2:$L$101,"Complete")</f>
      </c>
      <c r="D14" s="9">
        <f>IF(OR(B14=0,C14&lt;B14),"",_xlfn.MAXIFS(Ratings!$M$2:$M$101,Ratings!$D$2:$D$101,A14,Ratings!$L$2:$L$101,"Complete"))</f>
      </c>
      <c r="E14" s="8">
        <f>IF(D14="","",COUNTIFS(Ratings!$D$2:$D$101,A14,Ratings!$L$2:$L$101,"Complete",Ratings!$M$2:$M$101,D14))</f>
      </c>
      <c r="F14" s="7">
        <f>IF(B14=0,"Await candidates",IF(C14&lt;B14,"Finish ratings",IF(G14="",IF(E14&gt;1,"Review tie","Choose candidate"),IF(COUNTIFS(Ratings!$A$2:$A$101,G14,Ratings!$D$2:$D$101,A14,Ratings!$L$2:$L$101,"Complete")=0,"Choose listed candidate",IF(LEN(TRIM(H14))=0,"Add decision note","Decision recorded")))))</f>
      </c>
      <c r="G14" s="5"/>
      <c r="H14" s="10"/>
    </row>
    <row r="15" ht="26" customHeight="1">
      <c r="A15" s="7" t="inlineStr">
        <is>
          <t>triumphant_declaratory</t>
        </is>
      </c>
      <c r="B15" s="8">
        <f>COUNTIFS(Ratings!$D$2:$D$101,A15,Ratings!$A$2:$A$101,"&lt;&gt;")</f>
      </c>
      <c r="C15" s="8">
        <f>COUNTIFS(Ratings!$D$2:$D$101,A15,Ratings!$L$2:$L$101,"Complete")</f>
      </c>
      <c r="D15" s="9">
        <f>IF(OR(B15=0,C15&lt;B15),"",_xlfn.MAXIFS(Ratings!$M$2:$M$101,Ratings!$D$2:$D$101,A15,Ratings!$L$2:$L$101,"Complete"))</f>
      </c>
      <c r="E15" s="8">
        <f>IF(D15="","",COUNTIFS(Ratings!$D$2:$D$101,A15,Ratings!$L$2:$L$101,"Complete",Ratings!$M$2:$M$101,D15))</f>
      </c>
      <c r="F15" s="7">
        <f>IF(B15=0,"Await candidates",IF(C15&lt;B15,"Finish ratings",IF(G15="",IF(E15&gt;1,"Review tie","Choose candidate"),IF(COUNTIFS(Ratings!$A$2:$A$101,G15,Ratings!$D$2:$D$101,A15,Ratings!$L$2:$L$101,"Complete")=0,"Choose listed candidate",IF(LEN(TRIM(H15))=0,"Add decision note","Decision recorded")))))</f>
      </c>
      <c r="G15" s="5"/>
      <c r="H15" s="10"/>
    </row>
  </x:sheetData>
  <pageMargins left="0.5" right="0.5" top="0.6" bottom="0.6" header="0.3" footer="0.3"/>
  <tableParts count="1">
    <tablePart r:id="rId1"/>
  </tableParts>
</worksheet>
</file>

<file path=docProps/core.xml><?xml version="1.0" encoding="utf-8"?>
<cp:coreProperties xmlns:cp="http://schemas.openxmlformats.org/package/2006/metadata/core-properties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cp:revision>1</cp:revision>
</cp:coreProperties>
</file>